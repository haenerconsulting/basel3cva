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0" yWindow="0" windowWidth="25605" windowHeight="14115" tabRatio="500" activeTab="2"/>
  </bookViews>
  <sheets>
    <sheet name="Nelson-Siegel" sheetId="1" r:id="rId1"/>
    <sheet name="values" sheetId="2" r:id="rId2"/>
    <sheet name="Fitting Nelson-Siegel" sheetId="4" r:id="rId3"/>
    <sheet name="parameric values" sheetId="5" r:id="rId4"/>
  </sheets>
  <functionGroups builtInGroupCount="17"/>
  <definedNames>
    <definedName name="rlong" localSheetId="2">'Fitting Nelson-Siegel'!#REF!</definedName>
    <definedName name="rlong">'Nelson-Siegel'!$B$3</definedName>
    <definedName name="rlongtrial">'Fitting Nelson-Siegel'!$B$18</definedName>
    <definedName name="rmedium" localSheetId="2">'Fitting Nelson-Siegel'!#REF!</definedName>
    <definedName name="rmedium">'Nelson-Siegel'!$B$5</definedName>
    <definedName name="rmediumtrial">'Fitting Nelson-Siegel'!$B$20</definedName>
    <definedName name="rshort" localSheetId="2">'Fitting Nelson-Siegel'!#REF!</definedName>
    <definedName name="rshort">'Nelson-Siegel'!$B$4</definedName>
    <definedName name="rshorttrial">'Fitting Nelson-Siegel'!$B$19</definedName>
    <definedName name="solver_adj" localSheetId="2" hidden="1">'Fitting Nelson-Siegel'!$B$18:$B$21</definedName>
    <definedName name="solver_cvg" localSheetId="2" hidden="1">0.0001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0</definedName>
    <definedName name="solver_nwt" localSheetId="2" hidden="1">1</definedName>
    <definedName name="solver_opt" localSheetId="2" hidden="1">'Fitting Nelson-Siegel'!$D$33</definedName>
    <definedName name="solver_pre" localSheetId="2" hidden="1">0.000001</definedName>
    <definedName name="solver_rbv" localSheetId="2" hidden="1">1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2</definedName>
    <definedName name="solver_val" localSheetId="2" hidden="1">0</definedName>
    <definedName name="solver_ver" localSheetId="2" hidden="1">3</definedName>
    <definedName name="tau" localSheetId="2">'Fitting Nelson-Siegel'!#REF!</definedName>
    <definedName name="tau">'Nelson-Siegel'!$B$6</definedName>
    <definedName name="tautrial">'Fitting Nelson-Siegel'!$B$21</definedName>
  </definedNames>
  <calcPr calcId="145621" calcMode="manual" calcCompleted="0" calcOnSave="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24" i="4" l="1"/>
  <c r="D24" i="4"/>
  <c r="C25" i="4"/>
  <c r="D25" i="4"/>
  <c r="C26" i="4"/>
  <c r="D26" i="4"/>
  <c r="C27" i="4"/>
  <c r="D27" i="4"/>
  <c r="C28" i="4"/>
  <c r="D28" i="4"/>
  <c r="C29" i="4"/>
  <c r="D29" i="4"/>
  <c r="C30" i="4"/>
  <c r="D30" i="4"/>
  <c r="C31" i="4"/>
  <c r="D31" i="4"/>
  <c r="C32" i="4"/>
  <c r="D32" i="4"/>
  <c r="D33" i="4"/>
  <c r="A32" i="4"/>
  <c r="B32" i="4"/>
  <c r="A5" i="4"/>
  <c r="A25" i="4"/>
  <c r="B25" i="4"/>
  <c r="A6" i="4"/>
  <c r="A26" i="4"/>
  <c r="B26" i="4"/>
  <c r="A27" i="4"/>
  <c r="B27" i="4"/>
  <c r="A28" i="4"/>
  <c r="B28" i="4"/>
  <c r="A29" i="4"/>
  <c r="B29" i="4"/>
  <c r="A30" i="4"/>
  <c r="B30" i="4"/>
  <c r="A31" i="4"/>
  <c r="B31" i="4"/>
  <c r="B24" i="4"/>
  <c r="A24" i="4"/>
  <c r="A29" i="1"/>
  <c r="A28" i="1"/>
  <c r="B2" i="2"/>
  <c r="B77" i="2"/>
  <c r="B78" i="2"/>
  <c r="B79" i="2"/>
  <c r="B80" i="2"/>
  <c r="B81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1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</calcChain>
</file>

<file path=xl/sharedStrings.xml><?xml version="1.0" encoding="utf-8"?>
<sst xmlns="http://schemas.openxmlformats.org/spreadsheetml/2006/main" count="22" uniqueCount="13">
  <si>
    <t>Parameters</t>
  </si>
  <si>
    <t>tau</t>
  </si>
  <si>
    <t>rlong</t>
  </si>
  <si>
    <t>rshort</t>
  </si>
  <si>
    <t>rmedium</t>
  </si>
  <si>
    <t>T</t>
  </si>
  <si>
    <t>r</t>
  </si>
  <si>
    <t>Empirical curve (input)</t>
  </si>
  <si>
    <t>r Nelson Siegel</t>
  </si>
  <si>
    <t>Diff^2</t>
  </si>
  <si>
    <t>Parameter Estmation</t>
  </si>
  <si>
    <t>Total</t>
  </si>
  <si>
    <t>Empirical Curve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</si>
</sst>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horizontal="right"/>
    </xf>
    <xf numFmtId="2" fontId="0" fillId="0" borderId="0" xfId="0" applyNumberFormat="1"/>
    <xf numFmtId="0" fontId="3" fillId="0" borderId="0" xfId="0" applyFont="1" applyAlignment="1">
      <alignment horizontal="right"/>
    </xf>
    <xf numFmtId="0" fontId="3" fillId="2" borderId="0" xfId="0" applyFont="1" applyFill="1" applyAlignment="1">
      <alignment horizontal="right"/>
    </xf>
    <xf numFmtId="2" fontId="0" fillId="2" borderId="0" xfId="0" applyNumberFormat="1" applyFill="1"/>
    <xf numFmtId="2" fontId="0" fillId="3" borderId="0" xfId="0" applyNumberFormat="1" applyFill="1"/>
    <xf numFmtId="2" fontId="0" fillId="0" borderId="0" xfId="0" applyNumberFormat="1" applyAlignment="1">
      <alignment horizontal="right"/>
    </xf>
    <xf numFmtId="10" fontId="0" fillId="0" borderId="0" xfId="0" applyNumberFormat="1"/>
    <xf numFmtId="0" fontId="3" fillId="0" borderId="0" xfId="0" applyFont="1"/>
    <xf numFmtId="2" fontId="0" fillId="3" borderId="1" xfId="0" applyNumberFormat="1" applyFill="1" applyBorder="1" applyAlignment="1">
      <alignment horizontal="right"/>
    </xf>
    <xf numFmtId="10" fontId="0" fillId="3" borderId="2" xfId="0" applyNumberFormat="1" applyFill="1" applyBorder="1"/>
    <xf numFmtId="2" fontId="0" fillId="3" borderId="3" xfId="0" applyNumberFormat="1" applyFill="1" applyBorder="1"/>
    <xf numFmtId="10" fontId="0" fillId="3" borderId="4" xfId="0" applyNumberFormat="1" applyFill="1" applyBorder="1"/>
    <xf numFmtId="2" fontId="0" fillId="3" borderId="5" xfId="0" applyNumberFormat="1" applyFill="1" applyBorder="1"/>
    <xf numFmtId="10" fontId="0" fillId="3" borderId="6" xfId="0" applyNumberFormat="1" applyFill="1" applyBorder="1"/>
    <xf numFmtId="0" fontId="4" fillId="0" borderId="0" xfId="0" applyFont="1" applyAlignment="1">
      <alignment horizontal="center"/>
    </xf>
    <xf numFmtId="10" fontId="0" fillId="0" borderId="0" xfId="1" applyNumberFormat="1" applyFont="1"/>
    <xf numFmtId="0" fontId="3" fillId="2" borderId="0" xfId="0" applyFont="1" applyFill="1" applyAlignment="1">
      <alignment horizontal="center"/>
    </xf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values!$A$1:$A$81</c:f>
              <c:numCache>
                <c:formatCode>General</c:formatCode>
                <c:ptCount val="8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</c:numCache>
            </c:numRef>
          </c:xVal>
          <c:yVal>
            <c:numRef>
              <c:f>values!$B$1:$B$81</c:f>
              <c:numCache>
                <c:formatCode>0.00%</c:formatCode>
                <c:ptCount val="81"/>
                <c:pt idx="0">
                  <c:v>9.999999999999995E-3</c:v>
                </c:pt>
                <c:pt idx="1">
                  <c:v>1.7880078307140484E-2</c:v>
                </c:pt>
                <c:pt idx="2">
                  <c:v>2.4261226388505332E-2</c:v>
                </c:pt>
                <c:pt idx="3">
                  <c:v>2.9447331054820294E-2</c:v>
                </c:pt>
                <c:pt idx="4">
                  <c:v>3.3678794411714424E-2</c:v>
                </c:pt>
                <c:pt idx="5">
                  <c:v>3.7146019187440753E-2</c:v>
                </c:pt>
                <c:pt idx="6">
                  <c:v>3.9999999999999994E-2</c:v>
                </c:pt>
                <c:pt idx="7">
                  <c:v>4.2360645875855869E-2</c:v>
                </c:pt>
                <c:pt idx="8">
                  <c:v>4.432332358381693E-2</c:v>
                </c:pt>
                <c:pt idx="9">
                  <c:v>4.5964005169587568E-2</c:v>
                </c:pt>
                <c:pt idx="10">
                  <c:v>4.7343320011008813E-2</c:v>
                </c:pt>
                <c:pt idx="11">
                  <c:v>4.8509746716302649E-2</c:v>
                </c:pt>
                <c:pt idx="12">
                  <c:v>4.9502129316321364E-2</c:v>
                </c:pt>
                <c:pt idx="13">
                  <c:v>5.0351662377196842E-2</c:v>
                </c:pt>
                <c:pt idx="14">
                  <c:v>5.1083458475173503E-2</c:v>
                </c:pt>
                <c:pt idx="15">
                  <c:v>5.171778704972789E-2</c:v>
                </c:pt>
                <c:pt idx="16">
                  <c:v>5.2271054513890823E-2</c:v>
                </c:pt>
                <c:pt idx="17">
                  <c:v>5.2756580502354128E-2</c:v>
                </c:pt>
                <c:pt idx="18">
                  <c:v>5.3185213379490101E-2</c:v>
                </c:pt>
                <c:pt idx="19">
                  <c:v>5.3565818907746768E-2</c:v>
                </c:pt>
                <c:pt idx="20">
                  <c:v>5.3905668742012802E-2</c:v>
                </c:pt>
                <c:pt idx="21">
                  <c:v>5.4210749737154555E-2</c:v>
                </c:pt>
                <c:pt idx="22">
                  <c:v>5.4486010597258702E-2</c:v>
                </c:pt>
                <c:pt idx="23">
                  <c:v>5.4735558892573331E-2</c:v>
                </c:pt>
                <c:pt idx="24">
                  <c:v>5.4962818717349995E-2</c:v>
                </c:pt>
                <c:pt idx="25">
                  <c:v>5.5170657097129337E-2</c:v>
                </c:pt>
                <c:pt idx="26">
                  <c:v>5.5361485550877262E-2</c:v>
                </c:pt>
                <c:pt idx="27">
                  <c:v>5.5537341872565468E-2</c:v>
                </c:pt>
                <c:pt idx="28">
                  <c:v>5.5699956140541282E-2</c:v>
                </c:pt>
                <c:pt idx="29">
                  <c:v>5.5850804130383874E-2</c:v>
                </c:pt>
                <c:pt idx="30">
                  <c:v>5.5991150650077634E-2</c:v>
                </c:pt>
                <c:pt idx="31">
                  <c:v>5.6122084797732646E-2</c:v>
                </c:pt>
                <c:pt idx="32">
                  <c:v>5.6244548732296576E-2</c:v>
                </c:pt>
                <c:pt idx="33">
                  <c:v>5.6359361223607789E-2</c:v>
                </c:pt>
                <c:pt idx="34">
                  <c:v>5.6467236991569233E-2</c:v>
                </c:pt>
                <c:pt idx="35">
                  <c:v>5.6568802640898079E-2</c:v>
                </c:pt>
                <c:pt idx="36">
                  <c:v>5.6664609836598552E-2</c:v>
                </c:pt>
                <c:pt idx="37">
                  <c:v>5.6755146237181676E-2</c:v>
                </c:pt>
                <c:pt idx="38">
                  <c:v>5.6840844600759784E-2</c:v>
                </c:pt>
                <c:pt idx="39">
                  <c:v>5.69220903979984E-2</c:v>
                </c:pt>
                <c:pt idx="40">
                  <c:v>5.6999228201194033E-2</c:v>
                </c:pt>
                <c:pt idx="41">
                  <c:v>5.7072567067058648E-2</c:v>
                </c:pt>
                <c:pt idx="42">
                  <c:v>5.7142385089439716E-2</c:v>
                </c:pt>
                <c:pt idx="43">
                  <c:v>5.7208933265066181E-2</c:v>
                </c:pt>
                <c:pt idx="44">
                  <c:v>5.7272438788804531E-2</c:v>
                </c:pt>
                <c:pt idx="45">
                  <c:v>5.733310787350733E-2</c:v>
                </c:pt>
                <c:pt idx="46">
                  <c:v>5.7391128172285241E-2</c:v>
                </c:pt>
                <c:pt idx="47">
                  <c:v>5.7446670867098759E-2</c:v>
                </c:pt>
                <c:pt idx="48">
                  <c:v>5.7499892476283808E-2</c:v>
                </c:pt>
                <c:pt idx="49">
                  <c:v>5.7550936424470261E-2</c:v>
                </c:pt>
                <c:pt idx="50">
                  <c:v>5.759993441090417E-2</c:v>
                </c:pt>
                <c:pt idx="51">
                  <c:v>5.764700760611044E-2</c:v>
                </c:pt>
                <c:pt idx="52">
                  <c:v>5.7692267701864336E-2</c:v>
                </c:pt>
                <c:pt idx="53">
                  <c:v>5.7735817835367291E-2</c:v>
                </c:pt>
                <c:pt idx="54">
                  <c:v>5.7777753405171793E-2</c:v>
                </c:pt>
                <c:pt idx="55">
                  <c:v>5.7818162793637634E-2</c:v>
                </c:pt>
                <c:pt idx="56">
                  <c:v>5.7857128008415727E-2</c:v>
                </c:pt>
                <c:pt idx="57">
                  <c:v>5.7894725253559265E-2</c:v>
                </c:pt>
                <c:pt idx="58">
                  <c:v>5.7931025439283287E-2</c:v>
                </c:pt>
                <c:pt idx="59">
                  <c:v>5.7966094638075664E-2</c:v>
                </c:pt>
                <c:pt idx="60">
                  <c:v>5.7999994493758228E-2</c:v>
                </c:pt>
                <c:pt idx="61">
                  <c:v>5.8032782589169454E-2</c:v>
                </c:pt>
                <c:pt idx="62">
                  <c:v>5.8064512777357538E-2</c:v>
                </c:pt>
                <c:pt idx="63">
                  <c:v>5.8095235480511938E-2</c:v>
                </c:pt>
                <c:pt idx="64">
                  <c:v>5.8124997960299962E-2</c:v>
                </c:pt>
                <c:pt idx="65">
                  <c:v>5.8153844562798013E-2</c:v>
                </c:pt>
                <c:pt idx="66">
                  <c:v>5.8181816940799387E-2</c:v>
                </c:pt>
                <c:pt idx="67">
                  <c:v>5.8208954255931637E-2</c:v>
                </c:pt>
                <c:pt idx="68">
                  <c:v>5.8235293362717239E-2</c:v>
                </c:pt>
                <c:pt idx="69">
                  <c:v>5.8260868976452856E-2</c:v>
                </c:pt>
                <c:pt idx="70">
                  <c:v>5.8285713826560157E-2</c:v>
                </c:pt>
                <c:pt idx="71">
                  <c:v>5.8309858796867807E-2</c:v>
                </c:pt>
                <c:pt idx="72">
                  <c:v>5.8333333054117038E-2</c:v>
                </c:pt>
                <c:pt idx="73">
                  <c:v>5.8356164165836971E-2</c:v>
                </c:pt>
                <c:pt idx="74">
                  <c:v>5.8378378208609027E-2</c:v>
                </c:pt>
                <c:pt idx="75">
                  <c:v>5.839999986762795E-2</c:v>
                </c:pt>
                <c:pt idx="76">
                  <c:v>5.8421052528369537E-2</c:v>
                </c:pt>
                <c:pt idx="77">
                  <c:v>5.8441558361089399E-2</c:v>
                </c:pt>
                <c:pt idx="78">
                  <c:v>5.8461538398801208E-2</c:v>
                </c:pt>
                <c:pt idx="79">
                  <c:v>5.8481012609316478E-2</c:v>
                </c:pt>
                <c:pt idx="80">
                  <c:v>5.8499999961868651E-2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889088"/>
        <c:axId val="160993664"/>
      </c:scatterChart>
      <c:valAx>
        <c:axId val="1608890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160993664"/>
        <c:crosses val="autoZero"/>
        <c:crossBetween val="midCat"/>
      </c:valAx>
      <c:valAx>
        <c:axId val="16099366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rate</a:t>
                </a:r>
              </a:p>
            </c:rich>
          </c:tx>
          <c:layout/>
          <c:overlay val="0"/>
        </c:title>
        <c:numFmt formatCode="0.00%" sourceLinked="1"/>
        <c:majorTickMark val="none"/>
        <c:minorTickMark val="none"/>
        <c:tickLblPos val="nextTo"/>
        <c:crossAx val="160889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'Nelson-Siegel'!$A$27:$A$35</c:f>
              <c:numCache>
                <c:formatCode>0.00</c:formatCode>
                <c:ptCount val="9"/>
                <c:pt idx="0">
                  <c:v>0</c:v>
                </c:pt>
                <c:pt idx="1">
                  <c:v>8.3333333333333329E-2</c:v>
                </c:pt>
                <c:pt idx="2">
                  <c:v>0.5</c:v>
                </c:pt>
                <c:pt idx="3">
                  <c:v>1</c:v>
                </c:pt>
                <c:pt idx="4">
                  <c:v>2</c:v>
                </c:pt>
                <c:pt idx="5">
                  <c:v>5</c:v>
                </c:pt>
                <c:pt idx="6">
                  <c:v>10</c:v>
                </c:pt>
                <c:pt idx="7">
                  <c:v>20</c:v>
                </c:pt>
                <c:pt idx="8">
                  <c:v>50</c:v>
                </c:pt>
              </c:numCache>
            </c:numRef>
          </c:xVal>
          <c:yVal>
            <c:numRef>
              <c:f>'Nelson-Siegel'!$B$27:$B$35</c:f>
              <c:numCache>
                <c:formatCode>0.00%</c:formatCode>
                <c:ptCount val="9"/>
                <c:pt idx="0">
                  <c:v>1.0999999999999999E-2</c:v>
                </c:pt>
                <c:pt idx="1">
                  <c:v>1.24E-2</c:v>
                </c:pt>
                <c:pt idx="2">
                  <c:v>1.46E-2</c:v>
                </c:pt>
                <c:pt idx="3">
                  <c:v>1.89E-2</c:v>
                </c:pt>
                <c:pt idx="4">
                  <c:v>2.3199999999999998E-2</c:v>
                </c:pt>
                <c:pt idx="5">
                  <c:v>3.1E-2</c:v>
                </c:pt>
                <c:pt idx="6">
                  <c:v>3.4500000000000003E-2</c:v>
                </c:pt>
                <c:pt idx="7">
                  <c:v>4.7800000000000002E-2</c:v>
                </c:pt>
                <c:pt idx="8">
                  <c:v>6.2700000000000006E-2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611776"/>
        <c:axId val="161613696"/>
      </c:scatterChart>
      <c:valAx>
        <c:axId val="1616117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61613696"/>
        <c:crosses val="autoZero"/>
        <c:crossBetween val="midCat"/>
      </c:valAx>
      <c:valAx>
        <c:axId val="16161369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rate</a:t>
                </a:r>
              </a:p>
            </c:rich>
          </c:tx>
          <c:layout/>
          <c:overlay val="0"/>
        </c:title>
        <c:numFmt formatCode="0.00%" sourceLinked="1"/>
        <c:majorTickMark val="out"/>
        <c:minorTickMark val="none"/>
        <c:tickLblPos val="nextTo"/>
        <c:crossAx val="161611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'Fitting Nelson-Siegel'!$A$4:$A$12</c:f>
              <c:numCache>
                <c:formatCode>0.00</c:formatCode>
                <c:ptCount val="9"/>
                <c:pt idx="0">
                  <c:v>0</c:v>
                </c:pt>
                <c:pt idx="1">
                  <c:v>8.3333333333333329E-2</c:v>
                </c:pt>
                <c:pt idx="2">
                  <c:v>0.5</c:v>
                </c:pt>
                <c:pt idx="3">
                  <c:v>1</c:v>
                </c:pt>
                <c:pt idx="4">
                  <c:v>2</c:v>
                </c:pt>
                <c:pt idx="5">
                  <c:v>5</c:v>
                </c:pt>
                <c:pt idx="6">
                  <c:v>10</c:v>
                </c:pt>
                <c:pt idx="7">
                  <c:v>20</c:v>
                </c:pt>
                <c:pt idx="8">
                  <c:v>50</c:v>
                </c:pt>
              </c:numCache>
            </c:numRef>
          </c:xVal>
          <c:yVal>
            <c:numRef>
              <c:f>'Fitting Nelson-Siegel'!$B$4:$B$12</c:f>
              <c:numCache>
                <c:formatCode>0.00%</c:formatCode>
                <c:ptCount val="9"/>
                <c:pt idx="0">
                  <c:v>1.0999999999999999E-2</c:v>
                </c:pt>
                <c:pt idx="1">
                  <c:v>1.24E-2</c:v>
                </c:pt>
                <c:pt idx="2">
                  <c:v>1.46E-2</c:v>
                </c:pt>
                <c:pt idx="3">
                  <c:v>1.89E-2</c:v>
                </c:pt>
                <c:pt idx="4">
                  <c:v>2.3199999999999998E-2</c:v>
                </c:pt>
                <c:pt idx="5">
                  <c:v>3.1E-2</c:v>
                </c:pt>
                <c:pt idx="6">
                  <c:v>3.4500000000000003E-2</c:v>
                </c:pt>
                <c:pt idx="7">
                  <c:v>4.7800000000000002E-2</c:v>
                </c:pt>
                <c:pt idx="8">
                  <c:v>6.2700000000000006E-2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680384"/>
        <c:axId val="161686656"/>
      </c:scatterChart>
      <c:valAx>
        <c:axId val="1616803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61686656"/>
        <c:crosses val="autoZero"/>
        <c:crossBetween val="midCat"/>
      </c:valAx>
      <c:valAx>
        <c:axId val="16168665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rate</a:t>
                </a:r>
              </a:p>
            </c:rich>
          </c:tx>
          <c:layout/>
          <c:overlay val="0"/>
        </c:title>
        <c:numFmt formatCode="0.00%" sourceLinked="1"/>
        <c:majorTickMark val="out"/>
        <c:minorTickMark val="none"/>
        <c:tickLblPos val="nextTo"/>
        <c:crossAx val="161680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Empirical</c:v>
          </c:tx>
          <c:marker>
            <c:symbol val="none"/>
          </c:marker>
          <c:xVal>
            <c:numRef>
              <c:f>'Fitting Nelson-Siegel'!$A$24:$A$32</c:f>
              <c:numCache>
                <c:formatCode>0.00</c:formatCode>
                <c:ptCount val="9"/>
                <c:pt idx="0">
                  <c:v>0</c:v>
                </c:pt>
                <c:pt idx="1">
                  <c:v>8.3333333333333329E-2</c:v>
                </c:pt>
                <c:pt idx="2">
                  <c:v>0.5</c:v>
                </c:pt>
                <c:pt idx="3">
                  <c:v>1</c:v>
                </c:pt>
                <c:pt idx="4">
                  <c:v>2</c:v>
                </c:pt>
                <c:pt idx="5">
                  <c:v>5</c:v>
                </c:pt>
                <c:pt idx="6">
                  <c:v>10</c:v>
                </c:pt>
                <c:pt idx="7">
                  <c:v>20</c:v>
                </c:pt>
                <c:pt idx="8">
                  <c:v>50</c:v>
                </c:pt>
              </c:numCache>
            </c:numRef>
          </c:xVal>
          <c:yVal>
            <c:numRef>
              <c:f>'Fitting Nelson-Siegel'!$B$24:$B$32</c:f>
              <c:numCache>
                <c:formatCode>0.00%</c:formatCode>
                <c:ptCount val="9"/>
                <c:pt idx="0">
                  <c:v>1.0999999999999999E-2</c:v>
                </c:pt>
                <c:pt idx="1">
                  <c:v>1.24E-2</c:v>
                </c:pt>
                <c:pt idx="2">
                  <c:v>1.46E-2</c:v>
                </c:pt>
                <c:pt idx="3">
                  <c:v>1.89E-2</c:v>
                </c:pt>
                <c:pt idx="4">
                  <c:v>2.3199999999999998E-2</c:v>
                </c:pt>
                <c:pt idx="5">
                  <c:v>3.1E-2</c:v>
                </c:pt>
                <c:pt idx="6">
                  <c:v>3.4500000000000003E-2</c:v>
                </c:pt>
                <c:pt idx="7">
                  <c:v>4.7800000000000002E-2</c:v>
                </c:pt>
                <c:pt idx="8">
                  <c:v>6.2700000000000006E-2</c:v>
                </c:pt>
              </c:numCache>
            </c:numRef>
          </c:yVal>
          <c:smooth val="0"/>
        </c:ser>
        <c:ser>
          <c:idx val="1"/>
          <c:order val="1"/>
          <c:tx>
            <c:v>Nelson-Siegel</c:v>
          </c:tx>
          <c:marker>
            <c:symbol val="none"/>
          </c:marker>
          <c:xVal>
            <c:numRef>
              <c:f>'Fitting Nelson-Siegel'!$A$24:$A$32</c:f>
              <c:numCache>
                <c:formatCode>0.00</c:formatCode>
                <c:ptCount val="9"/>
                <c:pt idx="0">
                  <c:v>0</c:v>
                </c:pt>
                <c:pt idx="1">
                  <c:v>8.3333333333333329E-2</c:v>
                </c:pt>
                <c:pt idx="2">
                  <c:v>0.5</c:v>
                </c:pt>
                <c:pt idx="3">
                  <c:v>1</c:v>
                </c:pt>
                <c:pt idx="4">
                  <c:v>2</c:v>
                </c:pt>
                <c:pt idx="5">
                  <c:v>5</c:v>
                </c:pt>
                <c:pt idx="6">
                  <c:v>10</c:v>
                </c:pt>
                <c:pt idx="7">
                  <c:v>20</c:v>
                </c:pt>
                <c:pt idx="8">
                  <c:v>50</c:v>
                </c:pt>
              </c:numCache>
            </c:numRef>
          </c:xVal>
          <c:yVal>
            <c:numRef>
              <c:f>'Fitting Nelson-Siegel'!$C$24:$C$32</c:f>
              <c:numCache>
                <c:formatCode>0.00%</c:formatCode>
                <c:ptCount val="9"/>
                <c:pt idx="0">
                  <c:v>1.4310910474597765E-2</c:v>
                </c:pt>
                <c:pt idx="1">
                  <c:v>1.454300749534211E-2</c:v>
                </c:pt>
                <c:pt idx="2">
                  <c:v>1.5690023793393491E-2</c:v>
                </c:pt>
                <c:pt idx="3">
                  <c:v>1.7037198330686842E-2</c:v>
                </c:pt>
                <c:pt idx="4">
                  <c:v>1.9638215158819673E-2</c:v>
                </c:pt>
                <c:pt idx="5">
                  <c:v>2.6737293544398796E-2</c:v>
                </c:pt>
                <c:pt idx="6">
                  <c:v>3.6483188619656402E-2</c:v>
                </c:pt>
                <c:pt idx="7">
                  <c:v>4.9795823217390657E-2</c:v>
                </c:pt>
                <c:pt idx="8">
                  <c:v>6.1863469545257448E-2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719808"/>
        <c:axId val="161721344"/>
      </c:scatterChart>
      <c:valAx>
        <c:axId val="161719808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crossAx val="161721344"/>
        <c:crosses val="autoZero"/>
        <c:crossBetween val="midCat"/>
      </c:valAx>
      <c:valAx>
        <c:axId val="161721344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6171980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8</xdr:row>
      <xdr:rowOff>33337</xdr:rowOff>
    </xdr:from>
    <xdr:to>
      <xdr:col>5</xdr:col>
      <xdr:colOff>666750</xdr:colOff>
      <xdr:row>21</xdr:row>
      <xdr:rowOff>176212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152400</xdr:colOff>
      <xdr:row>25</xdr:row>
      <xdr:rowOff>100012</xdr:rowOff>
    </xdr:from>
    <xdr:to>
      <xdr:col>6</xdr:col>
      <xdr:colOff>352425</xdr:colOff>
      <xdr:row>35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152400</xdr:colOff>
      <xdr:row>2</xdr:row>
      <xdr:rowOff>100012</xdr:rowOff>
    </xdr:from>
    <xdr:to>
      <xdr:col>6</xdr:col>
      <xdr:colOff>352425</xdr:colOff>
      <xdr:row>12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66675</xdr:colOff>
      <xdr:row>33</xdr:row>
      <xdr:rowOff>109537</xdr:rowOff>
    </xdr:from>
    <xdr:to>
      <xdr:col>5</xdr:col>
      <xdr:colOff>285750</xdr:colOff>
      <xdr:row>47</xdr:row>
      <xdr:rowOff>52387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G35"/>
  <sheetViews>
    <sheetView showGridLines="0" showRuler="0" workbookViewId="0">
      <selection activeCell="I32" sqref="I32"/>
    </sheetView>
  </sheetViews>
  <sheetFormatPr defaultColWidth="11" defaultRowHeight="15.75" x14ac:dyDescent="0.25"/>
  <sheetData>
    <row r="2" spans="1:2" x14ac:dyDescent="0.25">
      <c r="A2" s="18" t="s">
        <v>0</v>
      </c>
      <c r="B2" s="18"/>
    </row>
    <row r="3" spans="1:2" x14ac:dyDescent="0.25">
      <c r="A3" s="4" t="s">
        <v>2</v>
      </c>
      <c r="B3" s="6">
        <v>0.06</v>
      </c>
    </row>
    <row r="4" spans="1:2" x14ac:dyDescent="0.25">
      <c r="A4" s="4" t="s">
        <v>3</v>
      </c>
      <c r="B4" s="6">
        <v>-0.05</v>
      </c>
    </row>
    <row r="5" spans="1:2" x14ac:dyDescent="0.25">
      <c r="A5" s="4" t="s">
        <v>4</v>
      </c>
      <c r="B5" s="6">
        <v>0.02</v>
      </c>
    </row>
    <row r="6" spans="1:2" x14ac:dyDescent="0.25">
      <c r="A6" s="4" t="s">
        <v>1</v>
      </c>
      <c r="B6" s="6">
        <v>2</v>
      </c>
    </row>
    <row r="24" spans="1:7" x14ac:dyDescent="0.25">
      <c r="A24" s="20" t="s">
        <v>12</v>
      </c>
      <c r="B24" s="20"/>
      <c r="C24" s="20"/>
      <c r="D24" s="20"/>
      <c r="E24" s="20"/>
      <c r="F24" s="20"/>
      <c r="G24" s="20"/>
    </row>
    <row r="26" spans="1:7" x14ac:dyDescent="0.25">
      <c r="A26" s="1" t="s">
        <v>5</v>
      </c>
      <c r="B26" s="1" t="s">
        <v>6</v>
      </c>
    </row>
    <row r="27" spans="1:7" x14ac:dyDescent="0.25">
      <c r="A27" s="7">
        <v>0</v>
      </c>
      <c r="B27" s="8">
        <v>1.0999999999999999E-2</v>
      </c>
    </row>
    <row r="28" spans="1:7" x14ac:dyDescent="0.25">
      <c r="A28" s="2">
        <f>1/12</f>
        <v>8.3333333333333329E-2</v>
      </c>
      <c r="B28" s="8">
        <v>1.24E-2</v>
      </c>
    </row>
    <row r="29" spans="1:7" x14ac:dyDescent="0.25">
      <c r="A29" s="2">
        <f>1/2</f>
        <v>0.5</v>
      </c>
      <c r="B29" s="8">
        <v>1.46E-2</v>
      </c>
    </row>
    <row r="30" spans="1:7" x14ac:dyDescent="0.25">
      <c r="A30" s="2">
        <v>1</v>
      </c>
      <c r="B30" s="8">
        <v>1.89E-2</v>
      </c>
    </row>
    <row r="31" spans="1:7" x14ac:dyDescent="0.25">
      <c r="A31" s="2">
        <v>2</v>
      </c>
      <c r="B31" s="8">
        <v>2.3199999999999998E-2</v>
      </c>
    </row>
    <row r="32" spans="1:7" x14ac:dyDescent="0.25">
      <c r="A32" s="2">
        <v>5</v>
      </c>
      <c r="B32" s="8">
        <v>3.1E-2</v>
      </c>
    </row>
    <row r="33" spans="1:2" x14ac:dyDescent="0.25">
      <c r="A33" s="2">
        <v>10</v>
      </c>
      <c r="B33" s="8">
        <v>3.4500000000000003E-2</v>
      </c>
    </row>
    <row r="34" spans="1:2" x14ac:dyDescent="0.25">
      <c r="A34" s="2">
        <v>20</v>
      </c>
      <c r="B34" s="8">
        <v>4.7800000000000002E-2</v>
      </c>
    </row>
    <row r="35" spans="1:2" x14ac:dyDescent="0.25">
      <c r="A35" s="2">
        <v>50</v>
      </c>
      <c r="B35" s="8">
        <v>6.2700000000000006E-2</v>
      </c>
    </row>
  </sheetData>
  <mergeCells count="2">
    <mergeCell ref="A2:B2"/>
    <mergeCell ref="A24:G24"/>
  </mergeCells>
  <phoneticPr fontId="1" type="noConversion"/>
  <pageMargins left="0.75000000000000011" right="0.75000000000000011" top="1" bottom="1" header="0.5" footer="0.5"/>
  <pageSetup paperSize="9" orientation="portrait" horizontalDpi="4294967292" verticalDpi="4294967292" r:id="rId1"/>
  <headerFooter>
    <oddHeader>&amp;C&amp;"-,Bold"&amp;18Nelson Siegel</oddHeader>
    <oddFooter>&amp;L&amp;"Calibri,Regular"&amp;K000000Page &amp;P of &amp;N&amp;R&amp;"Lucida Sans,Regular"&amp;14&amp;K000000 Copyright © 2012 Virtufin Ltd&amp;"Lucida Grande,Regular".&amp;12 &amp;G</oddFooter>
  </headerFooter>
  <drawing r:id="rId2"/>
  <legacyDrawingHF r:id="rId3"/>
  <extLst>
    <ext xmlns:mx="http://schemas.microsoft.com/office/mac/excel/2008/main" uri="{64002731-A6B0-56B0-2670-7721B7C09600}">
      <mx:PLV Mode="1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81"/>
  <sheetViews>
    <sheetView workbookViewId="0">
      <selection activeCell="B1" sqref="B1:B1048576"/>
    </sheetView>
  </sheetViews>
  <sheetFormatPr defaultRowHeight="15.75" x14ac:dyDescent="0.25"/>
  <cols>
    <col min="2" max="2" width="9" style="8"/>
  </cols>
  <sheetData>
    <row r="1" spans="1:2" x14ac:dyDescent="0.25">
      <c r="A1">
        <v>0</v>
      </c>
      <c r="B1" s="8">
        <f t="shared" ref="B1:B32" ca="1" si="0">NelsonSiegel(A1,rlong,rshort,rmedium,tau)</f>
        <v>9.999999999999995E-3</v>
      </c>
    </row>
    <row r="2" spans="1:2" x14ac:dyDescent="0.25">
      <c r="A2">
        <v>0.5</v>
      </c>
      <c r="B2" s="8">
        <f t="shared" ca="1" si="0"/>
        <v>1.7880078307140484E-2</v>
      </c>
    </row>
    <row r="3" spans="1:2" x14ac:dyDescent="0.25">
      <c r="A3">
        <v>1</v>
      </c>
      <c r="B3" s="8">
        <f t="shared" ca="1" si="0"/>
        <v>2.4261226388505332E-2</v>
      </c>
    </row>
    <row r="4" spans="1:2" x14ac:dyDescent="0.25">
      <c r="A4">
        <v>1.5</v>
      </c>
      <c r="B4" s="8">
        <f t="shared" ca="1" si="0"/>
        <v>2.9447331054820294E-2</v>
      </c>
    </row>
    <row r="5" spans="1:2" x14ac:dyDescent="0.25">
      <c r="A5">
        <v>2</v>
      </c>
      <c r="B5" s="8">
        <f t="shared" ca="1" si="0"/>
        <v>3.3678794411714424E-2</v>
      </c>
    </row>
    <row r="6" spans="1:2" x14ac:dyDescent="0.25">
      <c r="A6">
        <v>2.5</v>
      </c>
      <c r="B6" s="8">
        <f t="shared" ca="1" si="0"/>
        <v>3.7146019187440753E-2</v>
      </c>
    </row>
    <row r="7" spans="1:2" x14ac:dyDescent="0.25">
      <c r="A7">
        <v>3</v>
      </c>
      <c r="B7" s="8">
        <f t="shared" ca="1" si="0"/>
        <v>3.9999999999999994E-2</v>
      </c>
    </row>
    <row r="8" spans="1:2" x14ac:dyDescent="0.25">
      <c r="A8">
        <v>3.5</v>
      </c>
      <c r="B8" s="8">
        <f t="shared" ca="1" si="0"/>
        <v>4.2360645875855869E-2</v>
      </c>
    </row>
    <row r="9" spans="1:2" x14ac:dyDescent="0.25">
      <c r="A9">
        <v>4</v>
      </c>
      <c r="B9" s="8">
        <f t="shared" ca="1" si="0"/>
        <v>4.432332358381693E-2</v>
      </c>
    </row>
    <row r="10" spans="1:2" x14ac:dyDescent="0.25">
      <c r="A10">
        <v>4.5</v>
      </c>
      <c r="B10" s="8">
        <f t="shared" ca="1" si="0"/>
        <v>4.5964005169587568E-2</v>
      </c>
    </row>
    <row r="11" spans="1:2" x14ac:dyDescent="0.25">
      <c r="A11">
        <v>5</v>
      </c>
      <c r="B11" s="8">
        <f t="shared" ca="1" si="0"/>
        <v>4.7343320011008813E-2</v>
      </c>
    </row>
    <row r="12" spans="1:2" x14ac:dyDescent="0.25">
      <c r="A12">
        <v>5.5</v>
      </c>
      <c r="B12" s="8">
        <f t="shared" ca="1" si="0"/>
        <v>4.8509746716302649E-2</v>
      </c>
    </row>
    <row r="13" spans="1:2" x14ac:dyDescent="0.25">
      <c r="A13">
        <v>6</v>
      </c>
      <c r="B13" s="8">
        <f t="shared" ca="1" si="0"/>
        <v>4.9502129316321364E-2</v>
      </c>
    </row>
    <row r="14" spans="1:2" x14ac:dyDescent="0.25">
      <c r="A14">
        <v>6.5</v>
      </c>
      <c r="B14" s="8">
        <f t="shared" ca="1" si="0"/>
        <v>5.0351662377196842E-2</v>
      </c>
    </row>
    <row r="15" spans="1:2" x14ac:dyDescent="0.25">
      <c r="A15">
        <v>7</v>
      </c>
      <c r="B15" s="8">
        <f t="shared" ca="1" si="0"/>
        <v>5.1083458475173503E-2</v>
      </c>
    </row>
    <row r="16" spans="1:2" x14ac:dyDescent="0.25">
      <c r="A16">
        <v>7.5</v>
      </c>
      <c r="B16" s="8">
        <f t="shared" ca="1" si="0"/>
        <v>5.171778704972789E-2</v>
      </c>
    </row>
    <row r="17" spans="1:2" x14ac:dyDescent="0.25">
      <c r="A17">
        <v>8</v>
      </c>
      <c r="B17" s="8">
        <f t="shared" ca="1" si="0"/>
        <v>5.2271054513890823E-2</v>
      </c>
    </row>
    <row r="18" spans="1:2" x14ac:dyDescent="0.25">
      <c r="A18">
        <v>8.5</v>
      </c>
      <c r="B18" s="8">
        <f t="shared" ca="1" si="0"/>
        <v>5.2756580502354128E-2</v>
      </c>
    </row>
    <row r="19" spans="1:2" x14ac:dyDescent="0.25">
      <c r="A19">
        <v>9</v>
      </c>
      <c r="B19" s="8">
        <f t="shared" ca="1" si="0"/>
        <v>5.3185213379490101E-2</v>
      </c>
    </row>
    <row r="20" spans="1:2" x14ac:dyDescent="0.25">
      <c r="A20">
        <v>9.5</v>
      </c>
      <c r="B20" s="8">
        <f t="shared" ca="1" si="0"/>
        <v>5.3565818907746768E-2</v>
      </c>
    </row>
    <row r="21" spans="1:2" x14ac:dyDescent="0.25">
      <c r="A21">
        <v>10</v>
      </c>
      <c r="B21" s="8">
        <f t="shared" ca="1" si="0"/>
        <v>5.3905668742012802E-2</v>
      </c>
    </row>
    <row r="22" spans="1:2" x14ac:dyDescent="0.25">
      <c r="A22">
        <v>10.5</v>
      </c>
      <c r="B22" s="8">
        <f t="shared" ca="1" si="0"/>
        <v>5.4210749737154555E-2</v>
      </c>
    </row>
    <row r="23" spans="1:2" x14ac:dyDescent="0.25">
      <c r="A23">
        <v>11</v>
      </c>
      <c r="B23" s="8">
        <f t="shared" ca="1" si="0"/>
        <v>5.4486010597258702E-2</v>
      </c>
    </row>
    <row r="24" spans="1:2" x14ac:dyDescent="0.25">
      <c r="A24">
        <v>11.5</v>
      </c>
      <c r="B24" s="8">
        <f t="shared" ca="1" si="0"/>
        <v>5.4735558892573331E-2</v>
      </c>
    </row>
    <row r="25" spans="1:2" x14ac:dyDescent="0.25">
      <c r="A25">
        <v>12</v>
      </c>
      <c r="B25" s="8">
        <f t="shared" ca="1" si="0"/>
        <v>5.4962818717349995E-2</v>
      </c>
    </row>
    <row r="26" spans="1:2" x14ac:dyDescent="0.25">
      <c r="A26">
        <v>12.5</v>
      </c>
      <c r="B26" s="8">
        <f t="shared" ca="1" si="0"/>
        <v>5.5170657097129337E-2</v>
      </c>
    </row>
    <row r="27" spans="1:2" x14ac:dyDescent="0.25">
      <c r="A27">
        <v>13</v>
      </c>
      <c r="B27" s="8">
        <f t="shared" ca="1" si="0"/>
        <v>5.5361485550877262E-2</v>
      </c>
    </row>
    <row r="28" spans="1:2" x14ac:dyDescent="0.25">
      <c r="A28">
        <v>13.5</v>
      </c>
      <c r="B28" s="8">
        <f t="shared" ca="1" si="0"/>
        <v>5.5537341872565468E-2</v>
      </c>
    </row>
    <row r="29" spans="1:2" x14ac:dyDescent="0.25">
      <c r="A29">
        <v>14</v>
      </c>
      <c r="B29" s="8">
        <f t="shared" ca="1" si="0"/>
        <v>5.5699956140541282E-2</v>
      </c>
    </row>
    <row r="30" spans="1:2" x14ac:dyDescent="0.25">
      <c r="A30">
        <v>14.5</v>
      </c>
      <c r="B30" s="8">
        <f t="shared" ca="1" si="0"/>
        <v>5.5850804130383874E-2</v>
      </c>
    </row>
    <row r="31" spans="1:2" x14ac:dyDescent="0.25">
      <c r="A31">
        <v>15</v>
      </c>
      <c r="B31" s="8">
        <f t="shared" ca="1" si="0"/>
        <v>5.5991150650077634E-2</v>
      </c>
    </row>
    <row r="32" spans="1:2" x14ac:dyDescent="0.25">
      <c r="A32">
        <v>15.5</v>
      </c>
      <c r="B32" s="8">
        <f t="shared" ca="1" si="0"/>
        <v>5.6122084797732646E-2</v>
      </c>
    </row>
    <row r="33" spans="1:2" x14ac:dyDescent="0.25">
      <c r="A33">
        <v>16</v>
      </c>
      <c r="B33" s="8">
        <f t="shared" ref="B33:B64" ca="1" si="1">NelsonSiegel(A33,rlong,rshort,rmedium,tau)</f>
        <v>5.6244548732296576E-2</v>
      </c>
    </row>
    <row r="34" spans="1:2" x14ac:dyDescent="0.25">
      <c r="A34">
        <v>16.5</v>
      </c>
      <c r="B34" s="8">
        <f t="shared" ca="1" si="1"/>
        <v>5.6359361223607789E-2</v>
      </c>
    </row>
    <row r="35" spans="1:2" x14ac:dyDescent="0.25">
      <c r="A35">
        <v>17</v>
      </c>
      <c r="B35" s="8">
        <f t="shared" ca="1" si="1"/>
        <v>5.6467236991569233E-2</v>
      </c>
    </row>
    <row r="36" spans="1:2" x14ac:dyDescent="0.25">
      <c r="A36">
        <v>17.5</v>
      </c>
      <c r="B36" s="8">
        <f t="shared" ca="1" si="1"/>
        <v>5.6568802640898079E-2</v>
      </c>
    </row>
    <row r="37" spans="1:2" x14ac:dyDescent="0.25">
      <c r="A37">
        <v>18</v>
      </c>
      <c r="B37" s="8">
        <f t="shared" ca="1" si="1"/>
        <v>5.6664609836598552E-2</v>
      </c>
    </row>
    <row r="38" spans="1:2" x14ac:dyDescent="0.25">
      <c r="A38">
        <v>18.5</v>
      </c>
      <c r="B38" s="8">
        <f t="shared" ca="1" si="1"/>
        <v>5.6755146237181676E-2</v>
      </c>
    </row>
    <row r="39" spans="1:2" x14ac:dyDescent="0.25">
      <c r="A39">
        <v>19</v>
      </c>
      <c r="B39" s="8">
        <f t="shared" ca="1" si="1"/>
        <v>5.6840844600759784E-2</v>
      </c>
    </row>
    <row r="40" spans="1:2" x14ac:dyDescent="0.25">
      <c r="A40">
        <v>19.5</v>
      </c>
      <c r="B40" s="8">
        <f t="shared" ca="1" si="1"/>
        <v>5.69220903979984E-2</v>
      </c>
    </row>
    <row r="41" spans="1:2" x14ac:dyDescent="0.25">
      <c r="A41">
        <v>20</v>
      </c>
      <c r="B41" s="8">
        <f t="shared" ca="1" si="1"/>
        <v>5.6999228201194033E-2</v>
      </c>
    </row>
    <row r="42" spans="1:2" x14ac:dyDescent="0.25">
      <c r="A42">
        <v>20.5</v>
      </c>
      <c r="B42" s="8">
        <f t="shared" ca="1" si="1"/>
        <v>5.7072567067058648E-2</v>
      </c>
    </row>
    <row r="43" spans="1:2" x14ac:dyDescent="0.25">
      <c r="A43">
        <v>21</v>
      </c>
      <c r="B43" s="8">
        <f t="shared" ca="1" si="1"/>
        <v>5.7142385089439716E-2</v>
      </c>
    </row>
    <row r="44" spans="1:2" x14ac:dyDescent="0.25">
      <c r="A44">
        <v>21.5</v>
      </c>
      <c r="B44" s="8">
        <f t="shared" ca="1" si="1"/>
        <v>5.7208933265066181E-2</v>
      </c>
    </row>
    <row r="45" spans="1:2" x14ac:dyDescent="0.25">
      <c r="A45">
        <v>22</v>
      </c>
      <c r="B45" s="8">
        <f t="shared" ca="1" si="1"/>
        <v>5.7272438788804531E-2</v>
      </c>
    </row>
    <row r="46" spans="1:2" x14ac:dyDescent="0.25">
      <c r="A46">
        <v>22.5</v>
      </c>
      <c r="B46" s="8">
        <f t="shared" ca="1" si="1"/>
        <v>5.733310787350733E-2</v>
      </c>
    </row>
    <row r="47" spans="1:2" x14ac:dyDescent="0.25">
      <c r="A47">
        <v>23</v>
      </c>
      <c r="B47" s="8">
        <f t="shared" ca="1" si="1"/>
        <v>5.7391128172285241E-2</v>
      </c>
    </row>
    <row r="48" spans="1:2" x14ac:dyDescent="0.25">
      <c r="A48">
        <v>23.5</v>
      </c>
      <c r="B48" s="8">
        <f t="shared" ca="1" si="1"/>
        <v>5.7446670867098759E-2</v>
      </c>
    </row>
    <row r="49" spans="1:2" x14ac:dyDescent="0.25">
      <c r="A49">
        <v>24</v>
      </c>
      <c r="B49" s="8">
        <f t="shared" ca="1" si="1"/>
        <v>5.7499892476283808E-2</v>
      </c>
    </row>
    <row r="50" spans="1:2" x14ac:dyDescent="0.25">
      <c r="A50">
        <v>24.5</v>
      </c>
      <c r="B50" s="8">
        <f t="shared" ca="1" si="1"/>
        <v>5.7550936424470261E-2</v>
      </c>
    </row>
    <row r="51" spans="1:2" x14ac:dyDescent="0.25">
      <c r="A51">
        <v>25</v>
      </c>
      <c r="B51" s="8">
        <f t="shared" ca="1" si="1"/>
        <v>5.759993441090417E-2</v>
      </c>
    </row>
    <row r="52" spans="1:2" x14ac:dyDescent="0.25">
      <c r="A52">
        <v>25.5</v>
      </c>
      <c r="B52" s="8">
        <f t="shared" ca="1" si="1"/>
        <v>5.764700760611044E-2</v>
      </c>
    </row>
    <row r="53" spans="1:2" x14ac:dyDescent="0.25">
      <c r="A53">
        <v>26</v>
      </c>
      <c r="B53" s="8">
        <f t="shared" ca="1" si="1"/>
        <v>5.7692267701864336E-2</v>
      </c>
    </row>
    <row r="54" spans="1:2" x14ac:dyDescent="0.25">
      <c r="A54">
        <v>26.5</v>
      </c>
      <c r="B54" s="8">
        <f t="shared" ca="1" si="1"/>
        <v>5.7735817835367291E-2</v>
      </c>
    </row>
    <row r="55" spans="1:2" x14ac:dyDescent="0.25">
      <c r="A55">
        <v>27</v>
      </c>
      <c r="B55" s="8">
        <f t="shared" ca="1" si="1"/>
        <v>5.7777753405171793E-2</v>
      </c>
    </row>
    <row r="56" spans="1:2" x14ac:dyDescent="0.25">
      <c r="A56">
        <v>27.5</v>
      </c>
      <c r="B56" s="8">
        <f t="shared" ca="1" si="1"/>
        <v>5.7818162793637634E-2</v>
      </c>
    </row>
    <row r="57" spans="1:2" x14ac:dyDescent="0.25">
      <c r="A57">
        <v>28</v>
      </c>
      <c r="B57" s="8">
        <f t="shared" ca="1" si="1"/>
        <v>5.7857128008415727E-2</v>
      </c>
    </row>
    <row r="58" spans="1:2" x14ac:dyDescent="0.25">
      <c r="A58">
        <v>28.5</v>
      </c>
      <c r="B58" s="8">
        <f t="shared" ca="1" si="1"/>
        <v>5.7894725253559265E-2</v>
      </c>
    </row>
    <row r="59" spans="1:2" x14ac:dyDescent="0.25">
      <c r="A59">
        <v>29</v>
      </c>
      <c r="B59" s="8">
        <f t="shared" ca="1" si="1"/>
        <v>5.7931025439283287E-2</v>
      </c>
    </row>
    <row r="60" spans="1:2" x14ac:dyDescent="0.25">
      <c r="A60">
        <v>29.5</v>
      </c>
      <c r="B60" s="8">
        <f t="shared" ca="1" si="1"/>
        <v>5.7966094638075664E-2</v>
      </c>
    </row>
    <row r="61" spans="1:2" x14ac:dyDescent="0.25">
      <c r="A61">
        <v>30</v>
      </c>
      <c r="B61" s="8">
        <f t="shared" ca="1" si="1"/>
        <v>5.7999994493758228E-2</v>
      </c>
    </row>
    <row r="62" spans="1:2" x14ac:dyDescent="0.25">
      <c r="A62">
        <v>30.5</v>
      </c>
      <c r="B62" s="8">
        <f t="shared" ca="1" si="1"/>
        <v>5.8032782589169454E-2</v>
      </c>
    </row>
    <row r="63" spans="1:2" x14ac:dyDescent="0.25">
      <c r="A63">
        <v>31</v>
      </c>
      <c r="B63" s="8">
        <f t="shared" ca="1" si="1"/>
        <v>5.8064512777357538E-2</v>
      </c>
    </row>
    <row r="64" spans="1:2" x14ac:dyDescent="0.25">
      <c r="A64">
        <v>31.5</v>
      </c>
      <c r="B64" s="8">
        <f t="shared" ca="1" si="1"/>
        <v>5.8095235480511938E-2</v>
      </c>
    </row>
    <row r="65" spans="1:2" x14ac:dyDescent="0.25">
      <c r="A65">
        <v>32</v>
      </c>
      <c r="B65" s="8">
        <f t="shared" ref="B65:B96" ca="1" si="2">NelsonSiegel(A65,rlong,rshort,rmedium,tau)</f>
        <v>5.8124997960299962E-2</v>
      </c>
    </row>
    <row r="66" spans="1:2" x14ac:dyDescent="0.25">
      <c r="A66">
        <v>32.5</v>
      </c>
      <c r="B66" s="8">
        <f t="shared" ca="1" si="2"/>
        <v>5.8153844562798013E-2</v>
      </c>
    </row>
    <row r="67" spans="1:2" x14ac:dyDescent="0.25">
      <c r="A67">
        <v>33</v>
      </c>
      <c r="B67" s="8">
        <f t="shared" ca="1" si="2"/>
        <v>5.8181816940799387E-2</v>
      </c>
    </row>
    <row r="68" spans="1:2" x14ac:dyDescent="0.25">
      <c r="A68">
        <v>33.5</v>
      </c>
      <c r="B68" s="8">
        <f t="shared" ca="1" si="2"/>
        <v>5.8208954255931637E-2</v>
      </c>
    </row>
    <row r="69" spans="1:2" x14ac:dyDescent="0.25">
      <c r="A69">
        <v>34</v>
      </c>
      <c r="B69" s="8">
        <f t="shared" ca="1" si="2"/>
        <v>5.8235293362717239E-2</v>
      </c>
    </row>
    <row r="70" spans="1:2" x14ac:dyDescent="0.25">
      <c r="A70">
        <v>34.5</v>
      </c>
      <c r="B70" s="8">
        <f t="shared" ca="1" si="2"/>
        <v>5.8260868976452856E-2</v>
      </c>
    </row>
    <row r="71" spans="1:2" x14ac:dyDescent="0.25">
      <c r="A71">
        <v>35</v>
      </c>
      <c r="B71" s="8">
        <f t="shared" ca="1" si="2"/>
        <v>5.8285713826560157E-2</v>
      </c>
    </row>
    <row r="72" spans="1:2" x14ac:dyDescent="0.25">
      <c r="A72">
        <v>35.5</v>
      </c>
      <c r="B72" s="8">
        <f t="shared" ca="1" si="2"/>
        <v>5.8309858796867807E-2</v>
      </c>
    </row>
    <row r="73" spans="1:2" x14ac:dyDescent="0.25">
      <c r="A73">
        <v>36</v>
      </c>
      <c r="B73" s="8">
        <f t="shared" ca="1" si="2"/>
        <v>5.8333333054117038E-2</v>
      </c>
    </row>
    <row r="74" spans="1:2" x14ac:dyDescent="0.25">
      <c r="A74">
        <v>36.5</v>
      </c>
      <c r="B74" s="8">
        <f t="shared" ca="1" si="2"/>
        <v>5.8356164165836971E-2</v>
      </c>
    </row>
    <row r="75" spans="1:2" x14ac:dyDescent="0.25">
      <c r="A75">
        <v>37</v>
      </c>
      <c r="B75" s="8">
        <f t="shared" ca="1" si="2"/>
        <v>5.8378378208609027E-2</v>
      </c>
    </row>
    <row r="76" spans="1:2" x14ac:dyDescent="0.25">
      <c r="A76">
        <v>37.5</v>
      </c>
      <c r="B76" s="8">
        <f t="shared" ca="1" si="2"/>
        <v>5.839999986762795E-2</v>
      </c>
    </row>
    <row r="77" spans="1:2" x14ac:dyDescent="0.25">
      <c r="A77">
        <v>38</v>
      </c>
      <c r="B77" s="8">
        <f t="shared" ca="1" si="2"/>
        <v>5.8421052528369537E-2</v>
      </c>
    </row>
    <row r="78" spans="1:2" x14ac:dyDescent="0.25">
      <c r="A78">
        <v>38.5</v>
      </c>
      <c r="B78" s="8">
        <f t="shared" ca="1" si="2"/>
        <v>5.8441558361089399E-2</v>
      </c>
    </row>
    <row r="79" spans="1:2" x14ac:dyDescent="0.25">
      <c r="A79">
        <v>39</v>
      </c>
      <c r="B79" s="8">
        <f t="shared" ca="1" si="2"/>
        <v>5.8461538398801208E-2</v>
      </c>
    </row>
    <row r="80" spans="1:2" x14ac:dyDescent="0.25">
      <c r="A80">
        <v>39.5</v>
      </c>
      <c r="B80" s="8">
        <f t="shared" ca="1" si="2"/>
        <v>5.8481012609316478E-2</v>
      </c>
    </row>
    <row r="81" spans="1:2" x14ac:dyDescent="0.25">
      <c r="A81">
        <v>40</v>
      </c>
      <c r="B81" s="8">
        <f t="shared" ca="1" si="2"/>
        <v>5.8499999961868651E-2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33"/>
  <sheetViews>
    <sheetView showGridLines="0" tabSelected="1" showRuler="0" workbookViewId="0">
      <selection activeCell="C27" sqref="C27"/>
    </sheetView>
  </sheetViews>
  <sheetFormatPr defaultColWidth="11" defaultRowHeight="15.75" x14ac:dyDescent="0.25"/>
  <cols>
    <col min="3" max="3" width="13.125" bestFit="1" customWidth="1"/>
  </cols>
  <sheetData>
    <row r="1" spans="1:6" ht="18.75" x14ac:dyDescent="0.3">
      <c r="A1" s="19" t="s">
        <v>7</v>
      </c>
      <c r="B1" s="19"/>
      <c r="C1" s="19"/>
      <c r="D1" s="19"/>
      <c r="E1" s="19"/>
      <c r="F1" s="19"/>
    </row>
    <row r="3" spans="1:6" x14ac:dyDescent="0.25">
      <c r="A3" s="3" t="s">
        <v>5</v>
      </c>
      <c r="B3" s="3" t="s">
        <v>6</v>
      </c>
    </row>
    <row r="4" spans="1:6" x14ac:dyDescent="0.25">
      <c r="A4" s="10">
        <v>0</v>
      </c>
      <c r="B4" s="11">
        <v>1.0999999999999999E-2</v>
      </c>
    </row>
    <row r="5" spans="1:6" x14ac:dyDescent="0.25">
      <c r="A5" s="12">
        <f>1/12</f>
        <v>8.3333333333333329E-2</v>
      </c>
      <c r="B5" s="13">
        <v>1.24E-2</v>
      </c>
    </row>
    <row r="6" spans="1:6" x14ac:dyDescent="0.25">
      <c r="A6" s="12">
        <f>1/2</f>
        <v>0.5</v>
      </c>
      <c r="B6" s="13">
        <v>1.46E-2</v>
      </c>
    </row>
    <row r="7" spans="1:6" x14ac:dyDescent="0.25">
      <c r="A7" s="12">
        <v>1</v>
      </c>
      <c r="B7" s="13">
        <v>1.89E-2</v>
      </c>
    </row>
    <row r="8" spans="1:6" x14ac:dyDescent="0.25">
      <c r="A8" s="12">
        <v>2</v>
      </c>
      <c r="B8" s="13">
        <v>2.3199999999999998E-2</v>
      </c>
    </row>
    <row r="9" spans="1:6" x14ac:dyDescent="0.25">
      <c r="A9" s="12">
        <v>5</v>
      </c>
      <c r="B9" s="13">
        <v>3.1E-2</v>
      </c>
    </row>
    <row r="10" spans="1:6" x14ac:dyDescent="0.25">
      <c r="A10" s="12">
        <v>10</v>
      </c>
      <c r="B10" s="13">
        <v>3.4500000000000003E-2</v>
      </c>
    </row>
    <row r="11" spans="1:6" x14ac:dyDescent="0.25">
      <c r="A11" s="12">
        <v>20</v>
      </c>
      <c r="B11" s="13">
        <v>4.7800000000000002E-2</v>
      </c>
    </row>
    <row r="12" spans="1:6" x14ac:dyDescent="0.25">
      <c r="A12" s="14">
        <v>50</v>
      </c>
      <c r="B12" s="15">
        <v>6.2700000000000006E-2</v>
      </c>
    </row>
    <row r="15" spans="1:6" ht="18.75" x14ac:dyDescent="0.3">
      <c r="A15" s="19" t="s">
        <v>10</v>
      </c>
      <c r="B15" s="19"/>
      <c r="C15" s="19"/>
      <c r="D15" s="19"/>
      <c r="E15" s="19"/>
      <c r="F15" s="19"/>
    </row>
    <row r="16" spans="1:6" ht="18.75" x14ac:dyDescent="0.3">
      <c r="A16" s="16"/>
      <c r="B16" s="16"/>
      <c r="C16" s="16"/>
      <c r="D16" s="16"/>
      <c r="E16" s="16"/>
      <c r="F16" s="16"/>
    </row>
    <row r="17" spans="1:4" x14ac:dyDescent="0.25">
      <c r="A17" s="18" t="s">
        <v>0</v>
      </c>
      <c r="B17" s="18"/>
    </row>
    <row r="18" spans="1:4" x14ac:dyDescent="0.25">
      <c r="A18" s="4" t="s">
        <v>2</v>
      </c>
      <c r="B18" s="5">
        <v>1.4310910474597765E-2</v>
      </c>
    </row>
    <row r="19" spans="1:4" x14ac:dyDescent="0.25">
      <c r="A19" s="4" t="s">
        <v>3</v>
      </c>
      <c r="B19" s="5">
        <v>0</v>
      </c>
    </row>
    <row r="20" spans="1:4" x14ac:dyDescent="0.25">
      <c r="A20" s="4" t="s">
        <v>4</v>
      </c>
      <c r="B20" s="5">
        <v>0.15938080328260892</v>
      </c>
    </row>
    <row r="21" spans="1:4" x14ac:dyDescent="0.25">
      <c r="A21" s="4" t="s">
        <v>1</v>
      </c>
      <c r="B21" s="5">
        <v>28.556857488971371</v>
      </c>
    </row>
    <row r="23" spans="1:4" x14ac:dyDescent="0.25">
      <c r="A23" s="4" t="s">
        <v>5</v>
      </c>
      <c r="B23" s="1" t="s">
        <v>6</v>
      </c>
      <c r="C23" s="1" t="s">
        <v>8</v>
      </c>
      <c r="D23" s="1" t="s">
        <v>9</v>
      </c>
    </row>
    <row r="24" spans="1:4" x14ac:dyDescent="0.25">
      <c r="A24" s="2">
        <f>A4</f>
        <v>0</v>
      </c>
      <c r="B24" s="8">
        <f>B4</f>
        <v>1.0999999999999999E-2</v>
      </c>
      <c r="C24" s="17">
        <f t="shared" ref="C24:C32" ca="1" si="0">NelsonSiegel(A24,rlongtrial,rshorttrial,rmediumtrial,tautrial)</f>
        <v>1.4310910474597765E-2</v>
      </c>
      <c r="D24">
        <f ca="1">(B24-C24)^2</f>
        <v>1.0962128170801203E-5</v>
      </c>
    </row>
    <row r="25" spans="1:4" x14ac:dyDescent="0.25">
      <c r="A25" s="2">
        <f t="shared" ref="A25:B25" si="1">A5</f>
        <v>8.3333333333333329E-2</v>
      </c>
      <c r="B25" s="8">
        <f t="shared" si="1"/>
        <v>1.24E-2</v>
      </c>
      <c r="C25" s="17">
        <f t="shared" ca="1" si="0"/>
        <v>1.454300749534211E-2</v>
      </c>
      <c r="D25">
        <f t="shared" ref="D25:D31" ca="1" si="2">(B25-C25)^2</f>
        <v>4.5924811250924635E-6</v>
      </c>
    </row>
    <row r="26" spans="1:4" x14ac:dyDescent="0.25">
      <c r="A26" s="2">
        <f t="shared" ref="A26:B26" si="3">A6</f>
        <v>0.5</v>
      </c>
      <c r="B26" s="8">
        <f t="shared" si="3"/>
        <v>1.46E-2</v>
      </c>
      <c r="C26" s="17">
        <f t="shared" ca="1" si="0"/>
        <v>1.5690023793393491E-2</v>
      </c>
      <c r="D26">
        <f t="shared" ca="1" si="2"/>
        <v>1.188151870163935E-6</v>
      </c>
    </row>
    <row r="27" spans="1:4" x14ac:dyDescent="0.25">
      <c r="A27" s="2">
        <f t="shared" ref="A27:B27" si="4">A7</f>
        <v>1</v>
      </c>
      <c r="B27" s="8">
        <f t="shared" si="4"/>
        <v>1.89E-2</v>
      </c>
      <c r="C27" s="17">
        <f t="shared" ca="1" si="0"/>
        <v>1.7037198330686842E-2</v>
      </c>
      <c r="D27">
        <f t="shared" ca="1" si="2"/>
        <v>3.4700300591958871E-6</v>
      </c>
    </row>
    <row r="28" spans="1:4" x14ac:dyDescent="0.25">
      <c r="A28" s="2">
        <f t="shared" ref="A28:B28" si="5">A8</f>
        <v>2</v>
      </c>
      <c r="B28" s="8">
        <f t="shared" si="5"/>
        <v>2.3199999999999998E-2</v>
      </c>
      <c r="C28" s="17">
        <f t="shared" ca="1" si="0"/>
        <v>1.9638215158819673E-2</v>
      </c>
      <c r="D28">
        <f t="shared" ca="1" si="2"/>
        <v>1.2686311254861954E-5</v>
      </c>
    </row>
    <row r="29" spans="1:4" x14ac:dyDescent="0.25">
      <c r="A29" s="2">
        <f t="shared" ref="A29:B29" si="6">A9</f>
        <v>5</v>
      </c>
      <c r="B29" s="8">
        <f t="shared" si="6"/>
        <v>3.1E-2</v>
      </c>
      <c r="C29" s="17">
        <f t="shared" ca="1" si="0"/>
        <v>2.6737293544398796E-2</v>
      </c>
      <c r="D29">
        <f t="shared" ca="1" si="2"/>
        <v>1.8170666326624181E-5</v>
      </c>
    </row>
    <row r="30" spans="1:4" x14ac:dyDescent="0.25">
      <c r="A30" s="2">
        <f t="shared" ref="A30:B30" si="7">A10</f>
        <v>10</v>
      </c>
      <c r="B30" s="8">
        <f t="shared" si="7"/>
        <v>3.4500000000000003E-2</v>
      </c>
      <c r="C30" s="17">
        <f t="shared" ca="1" si="0"/>
        <v>3.6483188619656402E-2</v>
      </c>
      <c r="D30">
        <f t="shared" ca="1" si="2"/>
        <v>3.9330371011346546E-6</v>
      </c>
    </row>
    <row r="31" spans="1:4" x14ac:dyDescent="0.25">
      <c r="A31" s="2">
        <f t="shared" ref="A31:B31" si="8">A11</f>
        <v>20</v>
      </c>
      <c r="B31" s="8">
        <f t="shared" si="8"/>
        <v>4.7800000000000002E-2</v>
      </c>
      <c r="C31" s="17">
        <f t="shared" ca="1" si="0"/>
        <v>4.9795823217390657E-2</v>
      </c>
      <c r="D31">
        <f t="shared" ca="1" si="2"/>
        <v>3.9833103150755849E-6</v>
      </c>
    </row>
    <row r="32" spans="1:4" x14ac:dyDescent="0.25">
      <c r="A32" s="2">
        <f>A12</f>
        <v>50</v>
      </c>
      <c r="B32" s="8">
        <f>B12</f>
        <v>6.2700000000000006E-2</v>
      </c>
      <c r="C32" s="17">
        <f t="shared" ca="1" si="0"/>
        <v>6.1863469545257448E-2</v>
      </c>
      <c r="D32">
        <f ca="1">(B32-C32)^2</f>
        <v>6.9978320171179101E-7</v>
      </c>
    </row>
    <row r="33" spans="3:4" x14ac:dyDescent="0.25">
      <c r="C33" s="9" t="s">
        <v>11</v>
      </c>
      <c r="D33" s="9">
        <f ca="1">SUM(D24:D32)</f>
        <v>5.968589942466165E-5</v>
      </c>
    </row>
  </sheetData>
  <mergeCells count="3">
    <mergeCell ref="A1:F1"/>
    <mergeCell ref="A15:F15"/>
    <mergeCell ref="A17:B17"/>
  </mergeCells>
  <pageMargins left="0.75000000000000011" right="0.75000000000000011" top="1" bottom="1" header="0.5" footer="0.5"/>
  <pageSetup paperSize="9" orientation="portrait" horizontalDpi="4294967292" verticalDpi="4294967292" r:id="rId1"/>
  <headerFooter>
    <oddHeader>&amp;C&amp;"-,Bold"&amp;18Nelson Siegel</oddHeader>
    <oddFooter>&amp;L&amp;"Calibri,Regular"&amp;K000000Page &amp;P of &amp;N&amp;R&amp;"Lucida Sans,Regular"&amp;14&amp;K000000 Copyright © 2012 Virtufin Ltd&amp;"Lucida Grande,Regular".&amp;12 &amp;G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.7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8</vt:i4>
      </vt:variant>
    </vt:vector>
  </HeadingPairs>
  <TitlesOfParts>
    <vt:vector size="12" baseType="lpstr">
      <vt:lpstr>Nelson-Siegel</vt:lpstr>
      <vt:lpstr>values</vt:lpstr>
      <vt:lpstr>Fitting Nelson-Siegel</vt:lpstr>
      <vt:lpstr>parameric values</vt:lpstr>
      <vt:lpstr>rlong</vt:lpstr>
      <vt:lpstr>rlongtrial</vt:lpstr>
      <vt:lpstr>rmedium</vt:lpstr>
      <vt:lpstr>rmediumtrial</vt:lpstr>
      <vt:lpstr>rshort</vt:lpstr>
      <vt:lpstr>rshorttrial</vt:lpstr>
      <vt:lpstr>tau</vt:lpstr>
      <vt:lpstr>tautrial</vt:lpstr>
    </vt:vector>
  </TitlesOfParts>
  <Company>Virtufin Ltd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 Haener</dc:creator>
  <cp:lastModifiedBy>haener</cp:lastModifiedBy>
  <dcterms:created xsi:type="dcterms:W3CDTF">2012-08-13T07:38:39Z</dcterms:created>
  <dcterms:modified xsi:type="dcterms:W3CDTF">2012-09-27T04:02:46Z</dcterms:modified>
</cp:coreProperties>
</file>