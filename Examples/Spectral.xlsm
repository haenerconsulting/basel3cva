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30" yWindow="0" windowWidth="25575" windowHeight="14115" tabRatio="486"/>
  </bookViews>
  <sheets>
    <sheet name="Spectral" sheetId="1" r:id="rId1"/>
    <sheet name="Uncorrelated Normal Rand" sheetId="2" r:id="rId2"/>
    <sheet name="Correlated Normal Rand " sheetId="3" r:id="rId3"/>
  </sheets>
  <definedNames>
    <definedName name="scaling">Spectral!$B$24</definedName>
    <definedName name="trace">Spectral!$B$10</definedName>
  </definedNames>
  <calcPr calcId="145621" calcMode="manual" calcOnSave="0" concurrentCalc="0"/>
</workbook>
</file>

<file path=xl/calcChain.xml><?xml version="1.0" encoding="utf-8"?>
<calcChain xmlns="http://schemas.openxmlformats.org/spreadsheetml/2006/main">
  <c r="A2" i="2" l="1"/>
  <c r="B2" i="2"/>
  <c r="C2" i="2"/>
  <c r="D2" i="2"/>
  <c r="E2" i="2"/>
  <c r="A3" i="2"/>
  <c r="B3" i="2"/>
  <c r="C3" i="2"/>
  <c r="D3" i="2"/>
  <c r="E3" i="2"/>
  <c r="A4" i="2"/>
  <c r="B4" i="2"/>
  <c r="C4" i="2"/>
  <c r="D4" i="2"/>
  <c r="E4" i="2"/>
  <c r="A5" i="2"/>
  <c r="B5" i="2"/>
  <c r="C5" i="2"/>
  <c r="D5" i="2"/>
  <c r="E5" i="2"/>
  <c r="A6" i="2"/>
  <c r="B6" i="2"/>
  <c r="C6" i="2"/>
  <c r="D6" i="2"/>
  <c r="E6" i="2"/>
  <c r="A7" i="2"/>
  <c r="B7" i="2"/>
  <c r="C7" i="2"/>
  <c r="D7" i="2"/>
  <c r="E7" i="2"/>
  <c r="A8" i="2"/>
  <c r="B8" i="2"/>
  <c r="C8" i="2"/>
  <c r="D8" i="2"/>
  <c r="E8" i="2"/>
  <c r="A9" i="2"/>
  <c r="B9" i="2"/>
  <c r="C9" i="2"/>
  <c r="D9" i="2"/>
  <c r="E9" i="2"/>
  <c r="A10" i="2"/>
  <c r="B10" i="2"/>
  <c r="C10" i="2"/>
  <c r="D10" i="2"/>
  <c r="E10" i="2"/>
  <c r="A11" i="2"/>
  <c r="B11" i="2"/>
  <c r="C11" i="2"/>
  <c r="D11" i="2"/>
  <c r="E11" i="2"/>
  <c r="A12" i="2"/>
  <c r="B12" i="2"/>
  <c r="C12" i="2"/>
  <c r="D12" i="2"/>
  <c r="E12" i="2"/>
  <c r="A13" i="2"/>
  <c r="B13" i="2"/>
  <c r="C13" i="2"/>
  <c r="D13" i="2"/>
  <c r="E13" i="2"/>
  <c r="A14" i="2"/>
  <c r="B14" i="2"/>
  <c r="C14" i="2"/>
  <c r="D14" i="2"/>
  <c r="E14" i="2"/>
  <c r="A15" i="2"/>
  <c r="B15" i="2"/>
  <c r="C15" i="2"/>
  <c r="D15" i="2"/>
  <c r="E15" i="2"/>
  <c r="A16" i="2"/>
  <c r="B16" i="2"/>
  <c r="C16" i="2"/>
  <c r="D16" i="2"/>
  <c r="E16" i="2"/>
  <c r="A17" i="2"/>
  <c r="B17" i="2"/>
  <c r="C17" i="2"/>
  <c r="D17" i="2"/>
  <c r="E17" i="2"/>
  <c r="A18" i="2"/>
  <c r="B18" i="2"/>
  <c r="C18" i="2"/>
  <c r="D18" i="2"/>
  <c r="E18" i="2"/>
  <c r="A19" i="2"/>
  <c r="B19" i="2"/>
  <c r="C19" i="2"/>
  <c r="D19" i="2"/>
  <c r="E19" i="2"/>
  <c r="A20" i="2"/>
  <c r="B20" i="2"/>
  <c r="C20" i="2"/>
  <c r="D20" i="2"/>
  <c r="E20" i="2"/>
  <c r="A21" i="2"/>
  <c r="B21" i="2"/>
  <c r="C21" i="2"/>
  <c r="D21" i="2"/>
  <c r="E21" i="2"/>
  <c r="A22" i="2"/>
  <c r="B22" i="2"/>
  <c r="C22" i="2"/>
  <c r="D22" i="2"/>
  <c r="E22" i="2"/>
  <c r="A23" i="2"/>
  <c r="B23" i="2"/>
  <c r="C23" i="2"/>
  <c r="D23" i="2"/>
  <c r="E23" i="2"/>
  <c r="A24" i="2"/>
  <c r="B24" i="2"/>
  <c r="C24" i="2"/>
  <c r="D24" i="2"/>
  <c r="E24" i="2"/>
  <c r="A25" i="2"/>
  <c r="B25" i="2"/>
  <c r="C25" i="2"/>
  <c r="D25" i="2"/>
  <c r="E25" i="2"/>
  <c r="A26" i="2"/>
  <c r="B26" i="2"/>
  <c r="C26" i="2"/>
  <c r="D26" i="2"/>
  <c r="E26" i="2"/>
  <c r="A27" i="2"/>
  <c r="B27" i="2"/>
  <c r="C27" i="2"/>
  <c r="D27" i="2"/>
  <c r="E27" i="2"/>
  <c r="A28" i="2"/>
  <c r="B28" i="2"/>
  <c r="C28" i="2"/>
  <c r="D28" i="2"/>
  <c r="E28" i="2"/>
  <c r="A29" i="2"/>
  <c r="B29" i="2"/>
  <c r="C29" i="2"/>
  <c r="D29" i="2"/>
  <c r="E29" i="2"/>
  <c r="A30" i="2"/>
  <c r="B30" i="2"/>
  <c r="C30" i="2"/>
  <c r="D30" i="2"/>
  <c r="E30" i="2"/>
  <c r="A31" i="2"/>
  <c r="B31" i="2"/>
  <c r="C31" i="2"/>
  <c r="D31" i="2"/>
  <c r="E31" i="2"/>
  <c r="A32" i="2"/>
  <c r="B32" i="2"/>
  <c r="C32" i="2"/>
  <c r="D32" i="2"/>
  <c r="E32" i="2"/>
  <c r="A33" i="2"/>
  <c r="B33" i="2"/>
  <c r="C33" i="2"/>
  <c r="D33" i="2"/>
  <c r="E33" i="2"/>
  <c r="A34" i="2"/>
  <c r="B34" i="2"/>
  <c r="C34" i="2"/>
  <c r="D34" i="2"/>
  <c r="E34" i="2"/>
  <c r="A35" i="2"/>
  <c r="B35" i="2"/>
  <c r="C35" i="2"/>
  <c r="D35" i="2"/>
  <c r="E35" i="2"/>
  <c r="A36" i="2"/>
  <c r="B36" i="2"/>
  <c r="C36" i="2"/>
  <c r="D36" i="2"/>
  <c r="E36" i="2"/>
  <c r="A37" i="2"/>
  <c r="B37" i="2"/>
  <c r="C37" i="2"/>
  <c r="D37" i="2"/>
  <c r="E37" i="2"/>
  <c r="A38" i="2"/>
  <c r="B38" i="2"/>
  <c r="C38" i="2"/>
  <c r="D38" i="2"/>
  <c r="E38" i="2"/>
  <c r="A39" i="2"/>
  <c r="B39" i="2"/>
  <c r="C39" i="2"/>
  <c r="D39" i="2"/>
  <c r="E39" i="2"/>
  <c r="A40" i="2"/>
  <c r="B40" i="2"/>
  <c r="C40" i="2"/>
  <c r="D40" i="2"/>
  <c r="E40" i="2"/>
  <c r="A41" i="2"/>
  <c r="B41" i="2"/>
  <c r="C41" i="2"/>
  <c r="D41" i="2"/>
  <c r="E41" i="2"/>
  <c r="A42" i="2"/>
  <c r="B42" i="2"/>
  <c r="C42" i="2"/>
  <c r="D42" i="2"/>
  <c r="E42" i="2"/>
  <c r="A43" i="2"/>
  <c r="B43" i="2"/>
  <c r="C43" i="2"/>
  <c r="D43" i="2"/>
  <c r="E43" i="2"/>
  <c r="A44" i="2"/>
  <c r="B44" i="2"/>
  <c r="C44" i="2"/>
  <c r="D44" i="2"/>
  <c r="E44" i="2"/>
  <c r="A45" i="2"/>
  <c r="B45" i="2"/>
  <c r="C45" i="2"/>
  <c r="D45" i="2"/>
  <c r="E45" i="2"/>
  <c r="A46" i="2"/>
  <c r="B46" i="2"/>
  <c r="C46" i="2"/>
  <c r="D46" i="2"/>
  <c r="E46" i="2"/>
  <c r="A47" i="2"/>
  <c r="B47" i="2"/>
  <c r="C47" i="2"/>
  <c r="D47" i="2"/>
  <c r="E47" i="2"/>
  <c r="A48" i="2"/>
  <c r="B48" i="2"/>
  <c r="C48" i="2"/>
  <c r="D48" i="2"/>
  <c r="E48" i="2"/>
  <c r="A49" i="2"/>
  <c r="B49" i="2"/>
  <c r="C49" i="2"/>
  <c r="D49" i="2"/>
  <c r="E49" i="2"/>
  <c r="A50" i="2"/>
  <c r="B50" i="2"/>
  <c r="C50" i="2"/>
  <c r="D50" i="2"/>
  <c r="E50" i="2"/>
  <c r="A51" i="2"/>
  <c r="B51" i="2"/>
  <c r="C51" i="2"/>
  <c r="D51" i="2"/>
  <c r="E51" i="2"/>
  <c r="A52" i="2"/>
  <c r="B52" i="2"/>
  <c r="C52" i="2"/>
  <c r="D52" i="2"/>
  <c r="E52" i="2"/>
  <c r="A53" i="2"/>
  <c r="B53" i="2"/>
  <c r="C53" i="2"/>
  <c r="D53" i="2"/>
  <c r="E53" i="2"/>
  <c r="A54" i="2"/>
  <c r="B54" i="2"/>
  <c r="C54" i="2"/>
  <c r="D54" i="2"/>
  <c r="E54" i="2"/>
  <c r="A55" i="2"/>
  <c r="B55" i="2"/>
  <c r="C55" i="2"/>
  <c r="D55" i="2"/>
  <c r="E55" i="2"/>
  <c r="A56" i="2"/>
  <c r="B56" i="2"/>
  <c r="C56" i="2"/>
  <c r="D56" i="2"/>
  <c r="E56" i="2"/>
  <c r="A57" i="2"/>
  <c r="B57" i="2"/>
  <c r="C57" i="2"/>
  <c r="D57" i="2"/>
  <c r="E57" i="2"/>
  <c r="A58" i="2"/>
  <c r="B58" i="2"/>
  <c r="C58" i="2"/>
  <c r="D58" i="2"/>
  <c r="E58" i="2"/>
  <c r="A59" i="2"/>
  <c r="B59" i="2"/>
  <c r="C59" i="2"/>
  <c r="D59" i="2"/>
  <c r="E59" i="2"/>
  <c r="A60" i="2"/>
  <c r="B60" i="2"/>
  <c r="C60" i="2"/>
  <c r="D60" i="2"/>
  <c r="E60" i="2"/>
  <c r="A61" i="2"/>
  <c r="B61" i="2"/>
  <c r="C61" i="2"/>
  <c r="D61" i="2"/>
  <c r="E61" i="2"/>
  <c r="A62" i="2"/>
  <c r="B62" i="2"/>
  <c r="C62" i="2"/>
  <c r="D62" i="2"/>
  <c r="E62" i="2"/>
  <c r="A63" i="2"/>
  <c r="B63" i="2"/>
  <c r="C63" i="2"/>
  <c r="D63" i="2"/>
  <c r="E63" i="2"/>
  <c r="A64" i="2"/>
  <c r="B64" i="2"/>
  <c r="C64" i="2"/>
  <c r="D64" i="2"/>
  <c r="E64" i="2"/>
  <c r="A65" i="2"/>
  <c r="B65" i="2"/>
  <c r="C65" i="2"/>
  <c r="D65" i="2"/>
  <c r="E65" i="2"/>
  <c r="A66" i="2"/>
  <c r="B66" i="2"/>
  <c r="C66" i="2"/>
  <c r="D66" i="2"/>
  <c r="E66" i="2"/>
  <c r="A67" i="2"/>
  <c r="B67" i="2"/>
  <c r="C67" i="2"/>
  <c r="D67" i="2"/>
  <c r="E67" i="2"/>
  <c r="A68" i="2"/>
  <c r="B68" i="2"/>
  <c r="C68" i="2"/>
  <c r="D68" i="2"/>
  <c r="E68" i="2"/>
  <c r="A69" i="2"/>
  <c r="B69" i="2"/>
  <c r="C69" i="2"/>
  <c r="D69" i="2"/>
  <c r="E69" i="2"/>
  <c r="A70" i="2"/>
  <c r="B70" i="2"/>
  <c r="C70" i="2"/>
  <c r="D70" i="2"/>
  <c r="E70" i="2"/>
  <c r="A71" i="2"/>
  <c r="B71" i="2"/>
  <c r="C71" i="2"/>
  <c r="D71" i="2"/>
  <c r="E71" i="2"/>
  <c r="A72" i="2"/>
  <c r="B72" i="2"/>
  <c r="C72" i="2"/>
  <c r="D72" i="2"/>
  <c r="E72" i="2"/>
  <c r="A73" i="2"/>
  <c r="B73" i="2"/>
  <c r="C73" i="2"/>
  <c r="D73" i="2"/>
  <c r="E73" i="2"/>
  <c r="A74" i="2"/>
  <c r="B74" i="2"/>
  <c r="C74" i="2"/>
  <c r="D74" i="2"/>
  <c r="E74" i="2"/>
  <c r="A75" i="2"/>
  <c r="B75" i="2"/>
  <c r="C75" i="2"/>
  <c r="D75" i="2"/>
  <c r="E75" i="2"/>
  <c r="A76" i="2"/>
  <c r="B76" i="2"/>
  <c r="C76" i="2"/>
  <c r="D76" i="2"/>
  <c r="E76" i="2"/>
  <c r="A77" i="2"/>
  <c r="B77" i="2"/>
  <c r="C77" i="2"/>
  <c r="D77" i="2"/>
  <c r="E77" i="2"/>
  <c r="A78" i="2"/>
  <c r="B78" i="2"/>
  <c r="C78" i="2"/>
  <c r="D78" i="2"/>
  <c r="E78" i="2"/>
  <c r="A79" i="2"/>
  <c r="B79" i="2"/>
  <c r="C79" i="2"/>
  <c r="D79" i="2"/>
  <c r="E79" i="2"/>
  <c r="A80" i="2"/>
  <c r="B80" i="2"/>
  <c r="C80" i="2"/>
  <c r="D80" i="2"/>
  <c r="E80" i="2"/>
  <c r="A81" i="2"/>
  <c r="B81" i="2"/>
  <c r="C81" i="2"/>
  <c r="D81" i="2"/>
  <c r="E81" i="2"/>
  <c r="A82" i="2"/>
  <c r="B82" i="2"/>
  <c r="C82" i="2"/>
  <c r="D82" i="2"/>
  <c r="E82" i="2"/>
  <c r="A83" i="2"/>
  <c r="B83" i="2"/>
  <c r="C83" i="2"/>
  <c r="D83" i="2"/>
  <c r="E83" i="2"/>
  <c r="A84" i="2"/>
  <c r="B84" i="2"/>
  <c r="C84" i="2"/>
  <c r="D84" i="2"/>
  <c r="E84" i="2"/>
  <c r="A85" i="2"/>
  <c r="B85" i="2"/>
  <c r="C85" i="2"/>
  <c r="D85" i="2"/>
  <c r="E85" i="2"/>
  <c r="A86" i="2"/>
  <c r="B86" i="2"/>
  <c r="C86" i="2"/>
  <c r="D86" i="2"/>
  <c r="E86" i="2"/>
  <c r="A87" i="2"/>
  <c r="B87" i="2"/>
  <c r="C87" i="2"/>
  <c r="D87" i="2"/>
  <c r="E87" i="2"/>
  <c r="A88" i="2"/>
  <c r="B88" i="2"/>
  <c r="C88" i="2"/>
  <c r="D88" i="2"/>
  <c r="E88" i="2"/>
  <c r="A89" i="2"/>
  <c r="B89" i="2"/>
  <c r="C89" i="2"/>
  <c r="D89" i="2"/>
  <c r="E89" i="2"/>
  <c r="A90" i="2"/>
  <c r="B90" i="2"/>
  <c r="C90" i="2"/>
  <c r="D90" i="2"/>
  <c r="E90" i="2"/>
  <c r="A91" i="2"/>
  <c r="B91" i="2"/>
  <c r="C91" i="2"/>
  <c r="D91" i="2"/>
  <c r="E91" i="2"/>
  <c r="A92" i="2"/>
  <c r="B92" i="2"/>
  <c r="C92" i="2"/>
  <c r="D92" i="2"/>
  <c r="E92" i="2"/>
  <c r="A93" i="2"/>
  <c r="B93" i="2"/>
  <c r="C93" i="2"/>
  <c r="D93" i="2"/>
  <c r="E93" i="2"/>
  <c r="A94" i="2"/>
  <c r="B94" i="2"/>
  <c r="C94" i="2"/>
  <c r="D94" i="2"/>
  <c r="E94" i="2"/>
  <c r="A95" i="2"/>
  <c r="B95" i="2"/>
  <c r="C95" i="2"/>
  <c r="D95" i="2"/>
  <c r="E95" i="2"/>
  <c r="A96" i="2"/>
  <c r="B96" i="2"/>
  <c r="C96" i="2"/>
  <c r="D96" i="2"/>
  <c r="E96" i="2"/>
  <c r="A97" i="2"/>
  <c r="B97" i="2"/>
  <c r="C97" i="2"/>
  <c r="D97" i="2"/>
  <c r="E97" i="2"/>
  <c r="A98" i="2"/>
  <c r="B98" i="2"/>
  <c r="C98" i="2"/>
  <c r="D98" i="2"/>
  <c r="E98" i="2"/>
  <c r="A99" i="2"/>
  <c r="B99" i="2"/>
  <c r="C99" i="2"/>
  <c r="D99" i="2"/>
  <c r="E99" i="2"/>
  <c r="A100" i="2"/>
  <c r="B100" i="2"/>
  <c r="C100" i="2"/>
  <c r="D100" i="2"/>
  <c r="E100" i="2"/>
  <c r="A101" i="2"/>
  <c r="B101" i="2"/>
  <c r="C101" i="2"/>
  <c r="D101" i="2"/>
  <c r="E101" i="2"/>
  <c r="A102" i="2"/>
  <c r="B102" i="2"/>
  <c r="C102" i="2"/>
  <c r="D102" i="2"/>
  <c r="E102" i="2"/>
  <c r="A103" i="2"/>
  <c r="B103" i="2"/>
  <c r="C103" i="2"/>
  <c r="D103" i="2"/>
  <c r="E103" i="2"/>
  <c r="A104" i="2"/>
  <c r="B104" i="2"/>
  <c r="C104" i="2"/>
  <c r="D104" i="2"/>
  <c r="E104" i="2"/>
  <c r="A105" i="2"/>
  <c r="B105" i="2"/>
  <c r="C105" i="2"/>
  <c r="D105" i="2"/>
  <c r="E105" i="2"/>
  <c r="A106" i="2"/>
  <c r="B106" i="2"/>
  <c r="C106" i="2"/>
  <c r="D106" i="2"/>
  <c r="E106" i="2"/>
  <c r="A107" i="2"/>
  <c r="B107" i="2"/>
  <c r="C107" i="2"/>
  <c r="D107" i="2"/>
  <c r="E107" i="2"/>
  <c r="A108" i="2"/>
  <c r="B108" i="2"/>
  <c r="C108" i="2"/>
  <c r="D108" i="2"/>
  <c r="E108" i="2"/>
  <c r="A109" i="2"/>
  <c r="B109" i="2"/>
  <c r="C109" i="2"/>
  <c r="D109" i="2"/>
  <c r="E109" i="2"/>
  <c r="A110" i="2"/>
  <c r="B110" i="2"/>
  <c r="C110" i="2"/>
  <c r="D110" i="2"/>
  <c r="E110" i="2"/>
  <c r="A111" i="2"/>
  <c r="B111" i="2"/>
  <c r="C111" i="2"/>
  <c r="D111" i="2"/>
  <c r="E111" i="2"/>
  <c r="A112" i="2"/>
  <c r="B112" i="2"/>
  <c r="C112" i="2"/>
  <c r="D112" i="2"/>
  <c r="E112" i="2"/>
  <c r="A113" i="2"/>
  <c r="B113" i="2"/>
  <c r="C113" i="2"/>
  <c r="D113" i="2"/>
  <c r="E113" i="2"/>
  <c r="A114" i="2"/>
  <c r="B114" i="2"/>
  <c r="C114" i="2"/>
  <c r="D114" i="2"/>
  <c r="E114" i="2"/>
  <c r="A115" i="2"/>
  <c r="B115" i="2"/>
  <c r="C115" i="2"/>
  <c r="D115" i="2"/>
  <c r="E115" i="2"/>
  <c r="A116" i="2"/>
  <c r="B116" i="2"/>
  <c r="C116" i="2"/>
  <c r="D116" i="2"/>
  <c r="E116" i="2"/>
  <c r="A117" i="2"/>
  <c r="B117" i="2"/>
  <c r="C117" i="2"/>
  <c r="D117" i="2"/>
  <c r="E117" i="2"/>
  <c r="A118" i="2"/>
  <c r="B118" i="2"/>
  <c r="C118" i="2"/>
  <c r="D118" i="2"/>
  <c r="E118" i="2"/>
  <c r="A119" i="2"/>
  <c r="B119" i="2"/>
  <c r="C119" i="2"/>
  <c r="D119" i="2"/>
  <c r="E119" i="2"/>
  <c r="A120" i="2"/>
  <c r="B120" i="2"/>
  <c r="C120" i="2"/>
  <c r="D120" i="2"/>
  <c r="E120" i="2"/>
  <c r="A121" i="2"/>
  <c r="B121" i="2"/>
  <c r="C121" i="2"/>
  <c r="D121" i="2"/>
  <c r="E121" i="2"/>
  <c r="A122" i="2"/>
  <c r="B122" i="2"/>
  <c r="C122" i="2"/>
  <c r="D122" i="2"/>
  <c r="E122" i="2"/>
  <c r="A123" i="2"/>
  <c r="B123" i="2"/>
  <c r="C123" i="2"/>
  <c r="D123" i="2"/>
  <c r="E123" i="2"/>
  <c r="A124" i="2"/>
  <c r="B124" i="2"/>
  <c r="C124" i="2"/>
  <c r="D124" i="2"/>
  <c r="E124" i="2"/>
  <c r="A125" i="2"/>
  <c r="B125" i="2"/>
  <c r="C125" i="2"/>
  <c r="D125" i="2"/>
  <c r="E125" i="2"/>
  <c r="A126" i="2"/>
  <c r="B126" i="2"/>
  <c r="C126" i="2"/>
  <c r="D126" i="2"/>
  <c r="E126" i="2"/>
  <c r="A127" i="2"/>
  <c r="B127" i="2"/>
  <c r="C127" i="2"/>
  <c r="D127" i="2"/>
  <c r="E127" i="2"/>
  <c r="A128" i="2"/>
  <c r="B128" i="2"/>
  <c r="C128" i="2"/>
  <c r="D128" i="2"/>
  <c r="E128" i="2"/>
  <c r="A129" i="2"/>
  <c r="B129" i="2"/>
  <c r="C129" i="2"/>
  <c r="D129" i="2"/>
  <c r="E129" i="2"/>
  <c r="A130" i="2"/>
  <c r="B130" i="2"/>
  <c r="C130" i="2"/>
  <c r="D130" i="2"/>
  <c r="E130" i="2"/>
  <c r="A131" i="2"/>
  <c r="B131" i="2"/>
  <c r="C131" i="2"/>
  <c r="D131" i="2"/>
  <c r="E131" i="2"/>
  <c r="A132" i="2"/>
  <c r="B132" i="2"/>
  <c r="C132" i="2"/>
  <c r="D132" i="2"/>
  <c r="E132" i="2"/>
  <c r="A133" i="2"/>
  <c r="B133" i="2"/>
  <c r="C133" i="2"/>
  <c r="D133" i="2"/>
  <c r="E133" i="2"/>
  <c r="A134" i="2"/>
  <c r="B134" i="2"/>
  <c r="C134" i="2"/>
  <c r="D134" i="2"/>
  <c r="E134" i="2"/>
  <c r="A135" i="2"/>
  <c r="B135" i="2"/>
  <c r="C135" i="2"/>
  <c r="D135" i="2"/>
  <c r="E135" i="2"/>
  <c r="A136" i="2"/>
  <c r="B136" i="2"/>
  <c r="C136" i="2"/>
  <c r="D136" i="2"/>
  <c r="E136" i="2"/>
  <c r="A137" i="2"/>
  <c r="B137" i="2"/>
  <c r="C137" i="2"/>
  <c r="D137" i="2"/>
  <c r="E137" i="2"/>
  <c r="A138" i="2"/>
  <c r="B138" i="2"/>
  <c r="C138" i="2"/>
  <c r="D138" i="2"/>
  <c r="E138" i="2"/>
  <c r="A139" i="2"/>
  <c r="B139" i="2"/>
  <c r="C139" i="2"/>
  <c r="D139" i="2"/>
  <c r="E139" i="2"/>
  <c r="A140" i="2"/>
  <c r="B140" i="2"/>
  <c r="C140" i="2"/>
  <c r="D140" i="2"/>
  <c r="E140" i="2"/>
  <c r="A141" i="2"/>
  <c r="B141" i="2"/>
  <c r="C141" i="2"/>
  <c r="D141" i="2"/>
  <c r="E141" i="2"/>
  <c r="A142" i="2"/>
  <c r="B142" i="2"/>
  <c r="C142" i="2"/>
  <c r="D142" i="2"/>
  <c r="E142" i="2"/>
  <c r="A143" i="2"/>
  <c r="B143" i="2"/>
  <c r="C143" i="2"/>
  <c r="D143" i="2"/>
  <c r="E143" i="2"/>
  <c r="A144" i="2"/>
  <c r="B144" i="2"/>
  <c r="C144" i="2"/>
  <c r="D144" i="2"/>
  <c r="E144" i="2"/>
  <c r="A145" i="2"/>
  <c r="B145" i="2"/>
  <c r="C145" i="2"/>
  <c r="D145" i="2"/>
  <c r="E145" i="2"/>
  <c r="A146" i="2"/>
  <c r="B146" i="2"/>
  <c r="C146" i="2"/>
  <c r="D146" i="2"/>
  <c r="E146" i="2"/>
  <c r="A147" i="2"/>
  <c r="B147" i="2"/>
  <c r="C147" i="2"/>
  <c r="D147" i="2"/>
  <c r="E147" i="2"/>
  <c r="A148" i="2"/>
  <c r="B148" i="2"/>
  <c r="C148" i="2"/>
  <c r="D148" i="2"/>
  <c r="E148" i="2"/>
  <c r="A149" i="2"/>
  <c r="B149" i="2"/>
  <c r="C149" i="2"/>
  <c r="D149" i="2"/>
  <c r="E149" i="2"/>
  <c r="A150" i="2"/>
  <c r="B150" i="2"/>
  <c r="C150" i="2"/>
  <c r="D150" i="2"/>
  <c r="E150" i="2"/>
  <c r="A151" i="2"/>
  <c r="B151" i="2"/>
  <c r="C151" i="2"/>
  <c r="D151" i="2"/>
  <c r="E151" i="2"/>
  <c r="A152" i="2"/>
  <c r="B152" i="2"/>
  <c r="C152" i="2"/>
  <c r="D152" i="2"/>
  <c r="E152" i="2"/>
  <c r="A153" i="2"/>
  <c r="B153" i="2"/>
  <c r="C153" i="2"/>
  <c r="D153" i="2"/>
  <c r="E153" i="2"/>
  <c r="A154" i="2"/>
  <c r="B154" i="2"/>
  <c r="C154" i="2"/>
  <c r="D154" i="2"/>
  <c r="E154" i="2"/>
  <c r="A155" i="2"/>
  <c r="B155" i="2"/>
  <c r="C155" i="2"/>
  <c r="D155" i="2"/>
  <c r="E155" i="2"/>
  <c r="A156" i="2"/>
  <c r="B156" i="2"/>
  <c r="C156" i="2"/>
  <c r="D156" i="2"/>
  <c r="E156" i="2"/>
  <c r="A157" i="2"/>
  <c r="B157" i="2"/>
  <c r="C157" i="2"/>
  <c r="D157" i="2"/>
  <c r="E157" i="2"/>
  <c r="A158" i="2"/>
  <c r="B158" i="2"/>
  <c r="C158" i="2"/>
  <c r="D158" i="2"/>
  <c r="E158" i="2"/>
  <c r="A159" i="2"/>
  <c r="B159" i="2"/>
  <c r="C159" i="2"/>
  <c r="D159" i="2"/>
  <c r="E159" i="2"/>
  <c r="A160" i="2"/>
  <c r="B160" i="2"/>
  <c r="C160" i="2"/>
  <c r="D160" i="2"/>
  <c r="E160" i="2"/>
  <c r="A161" i="2"/>
  <c r="B161" i="2"/>
  <c r="C161" i="2"/>
  <c r="D161" i="2"/>
  <c r="E161" i="2"/>
  <c r="A162" i="2"/>
  <c r="B162" i="2"/>
  <c r="C162" i="2"/>
  <c r="D162" i="2"/>
  <c r="E162" i="2"/>
  <c r="A163" i="2"/>
  <c r="B163" i="2"/>
  <c r="C163" i="2"/>
  <c r="D163" i="2"/>
  <c r="E163" i="2"/>
  <c r="A164" i="2"/>
  <c r="B164" i="2"/>
  <c r="C164" i="2"/>
  <c r="D164" i="2"/>
  <c r="E164" i="2"/>
  <c r="A165" i="2"/>
  <c r="B165" i="2"/>
  <c r="C165" i="2"/>
  <c r="D165" i="2"/>
  <c r="E165" i="2"/>
  <c r="A166" i="2"/>
  <c r="B166" i="2"/>
  <c r="C166" i="2"/>
  <c r="D166" i="2"/>
  <c r="E166" i="2"/>
  <c r="A167" i="2"/>
  <c r="B167" i="2"/>
  <c r="C167" i="2"/>
  <c r="D167" i="2"/>
  <c r="E167" i="2"/>
  <c r="A168" i="2"/>
  <c r="B168" i="2"/>
  <c r="C168" i="2"/>
  <c r="D168" i="2"/>
  <c r="E168" i="2"/>
  <c r="A169" i="2"/>
  <c r="B169" i="2"/>
  <c r="C169" i="2"/>
  <c r="D169" i="2"/>
  <c r="E169" i="2"/>
  <c r="A170" i="2"/>
  <c r="B170" i="2"/>
  <c r="C170" i="2"/>
  <c r="D170" i="2"/>
  <c r="E170" i="2"/>
  <c r="A171" i="2"/>
  <c r="B171" i="2"/>
  <c r="C171" i="2"/>
  <c r="D171" i="2"/>
  <c r="E171" i="2"/>
  <c r="A172" i="2"/>
  <c r="B172" i="2"/>
  <c r="C172" i="2"/>
  <c r="D172" i="2"/>
  <c r="E172" i="2"/>
  <c r="A173" i="2"/>
  <c r="B173" i="2"/>
  <c r="C173" i="2"/>
  <c r="D173" i="2"/>
  <c r="E173" i="2"/>
  <c r="A174" i="2"/>
  <c r="B174" i="2"/>
  <c r="C174" i="2"/>
  <c r="D174" i="2"/>
  <c r="E174" i="2"/>
  <c r="A175" i="2"/>
  <c r="B175" i="2"/>
  <c r="C175" i="2"/>
  <c r="D175" i="2"/>
  <c r="E175" i="2"/>
  <c r="A176" i="2"/>
  <c r="B176" i="2"/>
  <c r="C176" i="2"/>
  <c r="D176" i="2"/>
  <c r="E176" i="2"/>
  <c r="A177" i="2"/>
  <c r="B177" i="2"/>
  <c r="C177" i="2"/>
  <c r="D177" i="2"/>
  <c r="E177" i="2"/>
  <c r="A178" i="2"/>
  <c r="B178" i="2"/>
  <c r="C178" i="2"/>
  <c r="D178" i="2"/>
  <c r="E178" i="2"/>
  <c r="A179" i="2"/>
  <c r="B179" i="2"/>
  <c r="C179" i="2"/>
  <c r="D179" i="2"/>
  <c r="E179" i="2"/>
  <c r="A180" i="2"/>
  <c r="B180" i="2"/>
  <c r="C180" i="2"/>
  <c r="D180" i="2"/>
  <c r="E180" i="2"/>
  <c r="A181" i="2"/>
  <c r="B181" i="2"/>
  <c r="C181" i="2"/>
  <c r="D181" i="2"/>
  <c r="E181" i="2"/>
  <c r="A182" i="2"/>
  <c r="B182" i="2"/>
  <c r="C182" i="2"/>
  <c r="D182" i="2"/>
  <c r="E182" i="2"/>
  <c r="A183" i="2"/>
  <c r="B183" i="2"/>
  <c r="C183" i="2"/>
  <c r="D183" i="2"/>
  <c r="E183" i="2"/>
  <c r="A184" i="2"/>
  <c r="B184" i="2"/>
  <c r="C184" i="2"/>
  <c r="D184" i="2"/>
  <c r="E184" i="2"/>
  <c r="A185" i="2"/>
  <c r="B185" i="2"/>
  <c r="C185" i="2"/>
  <c r="D185" i="2"/>
  <c r="E185" i="2"/>
  <c r="A186" i="2"/>
  <c r="B186" i="2"/>
  <c r="C186" i="2"/>
  <c r="D186" i="2"/>
  <c r="E186" i="2"/>
  <c r="A187" i="2"/>
  <c r="B187" i="2"/>
  <c r="C187" i="2"/>
  <c r="D187" i="2"/>
  <c r="E187" i="2"/>
  <c r="A188" i="2"/>
  <c r="B188" i="2"/>
  <c r="C188" i="2"/>
  <c r="D188" i="2"/>
  <c r="E188" i="2"/>
  <c r="A189" i="2"/>
  <c r="B189" i="2"/>
  <c r="C189" i="2"/>
  <c r="D189" i="2"/>
  <c r="E189" i="2"/>
  <c r="A190" i="2"/>
  <c r="B190" i="2"/>
  <c r="C190" i="2"/>
  <c r="D190" i="2"/>
  <c r="E190" i="2"/>
  <c r="A191" i="2"/>
  <c r="B191" i="2"/>
  <c r="C191" i="2"/>
  <c r="D191" i="2"/>
  <c r="E191" i="2"/>
  <c r="A192" i="2"/>
  <c r="B192" i="2"/>
  <c r="C192" i="2"/>
  <c r="D192" i="2"/>
  <c r="E192" i="2"/>
  <c r="A193" i="2"/>
  <c r="B193" i="2"/>
  <c r="C193" i="2"/>
  <c r="D193" i="2"/>
  <c r="E193" i="2"/>
  <c r="A194" i="2"/>
  <c r="B194" i="2"/>
  <c r="C194" i="2"/>
  <c r="D194" i="2"/>
  <c r="E194" i="2"/>
  <c r="A195" i="2"/>
  <c r="B195" i="2"/>
  <c r="C195" i="2"/>
  <c r="D195" i="2"/>
  <c r="E195" i="2"/>
  <c r="A196" i="2"/>
  <c r="B196" i="2"/>
  <c r="C196" i="2"/>
  <c r="D196" i="2"/>
  <c r="E196" i="2"/>
  <c r="A197" i="2"/>
  <c r="B197" i="2"/>
  <c r="C197" i="2"/>
  <c r="D197" i="2"/>
  <c r="E197" i="2"/>
  <c r="A198" i="2"/>
  <c r="B198" i="2"/>
  <c r="C198" i="2"/>
  <c r="D198" i="2"/>
  <c r="E198" i="2"/>
  <c r="A199" i="2"/>
  <c r="B199" i="2"/>
  <c r="C199" i="2"/>
  <c r="D199" i="2"/>
  <c r="E199" i="2"/>
  <c r="A200" i="2"/>
  <c r="B200" i="2"/>
  <c r="C200" i="2"/>
  <c r="D200" i="2"/>
  <c r="E200" i="2"/>
  <c r="E1" i="2"/>
  <c r="D1" i="2"/>
  <c r="C1" i="2"/>
  <c r="B1" i="2"/>
  <c r="A1" i="2"/>
  <c r="A6" i="1"/>
  <c r="B6" i="1"/>
  <c r="D8" i="1"/>
  <c r="C8" i="1"/>
  <c r="C7" i="1"/>
  <c r="B8" i="1"/>
  <c r="A5" i="1"/>
  <c r="A7" i="1"/>
  <c r="B7" i="1"/>
  <c r="A8" i="1"/>
  <c r="G29" i="1" a="1"/>
  <c r="K33" i="1"/>
  <c r="K32" i="1"/>
  <c r="K31" i="1"/>
  <c r="A14" i="1" a="1"/>
  <c r="E18" i="1"/>
  <c r="E21" i="1"/>
  <c r="A14" i="1"/>
  <c r="A21" i="1"/>
  <c r="B15" i="1"/>
  <c r="B21" i="1"/>
  <c r="C16" i="1"/>
  <c r="C21" i="1"/>
  <c r="D17" i="1"/>
  <c r="D21" i="1"/>
  <c r="B24" i="1"/>
  <c r="B10" i="1"/>
  <c r="K21" i="1"/>
  <c r="K18" i="1"/>
  <c r="E33" i="1"/>
  <c r="J21" i="1"/>
  <c r="J17" i="1"/>
  <c r="D32" i="1"/>
  <c r="I21" i="1"/>
  <c r="I16" i="1"/>
  <c r="C31" i="1"/>
  <c r="H21" i="1"/>
  <c r="H15" i="1"/>
  <c r="B30" i="1"/>
  <c r="G29" i="1"/>
  <c r="H29" i="1"/>
  <c r="I29" i="1"/>
  <c r="J29" i="1"/>
  <c r="K29" i="1"/>
  <c r="G30" i="1"/>
  <c r="H30" i="1"/>
  <c r="I30" i="1"/>
  <c r="J30" i="1"/>
  <c r="K30" i="1"/>
  <c r="G31" i="1"/>
  <c r="H31" i="1"/>
  <c r="I31" i="1"/>
  <c r="J31" i="1"/>
  <c r="G32" i="1"/>
  <c r="H32" i="1"/>
  <c r="I32" i="1"/>
  <c r="J32" i="1"/>
  <c r="G33" i="1"/>
  <c r="H33" i="1"/>
  <c r="I33" i="1"/>
  <c r="J33" i="1"/>
  <c r="G21" i="1"/>
  <c r="G14" i="1"/>
  <c r="A29" i="1"/>
  <c r="E32" i="1"/>
  <c r="E31" i="1"/>
  <c r="E30" i="1"/>
  <c r="E29" i="1"/>
  <c r="B29" i="1"/>
  <c r="C29" i="1"/>
  <c r="D29" i="1"/>
  <c r="A30" i="1"/>
  <c r="C30" i="1"/>
  <c r="D30" i="1"/>
  <c r="A31" i="1"/>
  <c r="B31" i="1"/>
  <c r="D31" i="1"/>
  <c r="A32" i="1"/>
  <c r="B32" i="1"/>
  <c r="C32" i="1"/>
  <c r="A33" i="1"/>
  <c r="B33" i="1"/>
  <c r="C33" i="1"/>
  <c r="D33" i="1"/>
  <c r="G36" i="1" a="1"/>
  <c r="G36" i="1"/>
  <c r="H36" i="1"/>
  <c r="I36" i="1"/>
  <c r="J36" i="1"/>
  <c r="K36" i="1"/>
  <c r="G37" i="1"/>
  <c r="H37" i="1"/>
  <c r="I37" i="1"/>
  <c r="J37" i="1"/>
  <c r="K37" i="1"/>
  <c r="G38" i="1"/>
  <c r="H38" i="1"/>
  <c r="I38" i="1"/>
  <c r="J38" i="1"/>
  <c r="K38" i="1"/>
  <c r="G39" i="1"/>
  <c r="H39" i="1"/>
  <c r="I39" i="1"/>
  <c r="J39" i="1"/>
  <c r="K39" i="1"/>
  <c r="G40" i="1"/>
  <c r="H40" i="1"/>
  <c r="I40" i="1"/>
  <c r="J40" i="1"/>
  <c r="K40" i="1"/>
  <c r="A43" i="1" a="1"/>
  <c r="E47" i="1"/>
  <c r="E46" i="1"/>
  <c r="E45" i="1"/>
  <c r="A43" i="1"/>
  <c r="B43" i="1"/>
  <c r="C43" i="1"/>
  <c r="D43" i="1"/>
  <c r="E43" i="1"/>
  <c r="A44" i="1"/>
  <c r="B44" i="1"/>
  <c r="C44" i="1"/>
  <c r="D44" i="1"/>
  <c r="E44" i="1"/>
  <c r="A45" i="1"/>
  <c r="B45" i="1"/>
  <c r="C45" i="1"/>
  <c r="D45" i="1"/>
  <c r="A46" i="1"/>
  <c r="B46" i="1"/>
  <c r="C46" i="1"/>
  <c r="D46" i="1"/>
  <c r="A47" i="1"/>
  <c r="B47" i="1"/>
  <c r="C47" i="1"/>
  <c r="D47" i="1"/>
  <c r="G43" i="1" a="1"/>
  <c r="K47" i="1"/>
  <c r="K46" i="1"/>
  <c r="K45" i="1"/>
  <c r="G43" i="1"/>
  <c r="H43" i="1"/>
  <c r="I43" i="1"/>
  <c r="J43" i="1"/>
  <c r="K43" i="1"/>
  <c r="G44" i="1"/>
  <c r="H44" i="1"/>
  <c r="I44" i="1"/>
  <c r="J44" i="1"/>
  <c r="K44" i="1"/>
  <c r="G45" i="1"/>
  <c r="H45" i="1"/>
  <c r="I45" i="1"/>
  <c r="J45" i="1"/>
  <c r="G46" i="1"/>
  <c r="H46" i="1"/>
  <c r="I46" i="1"/>
  <c r="J46" i="1"/>
  <c r="G47" i="1"/>
  <c r="H47" i="1"/>
  <c r="I47" i="1"/>
  <c r="J47" i="1"/>
  <c r="A1" i="3" a="1"/>
  <c r="A1" i="3"/>
  <c r="B1" i="3"/>
  <c r="C1" i="3"/>
  <c r="D1" i="3"/>
  <c r="E1" i="3"/>
  <c r="A2" i="3"/>
  <c r="B2" i="3"/>
  <c r="C2" i="3"/>
  <c r="D2" i="3"/>
  <c r="E2" i="3"/>
  <c r="A3" i="3"/>
  <c r="B3" i="3"/>
  <c r="C3" i="3"/>
  <c r="D3" i="3"/>
  <c r="E3" i="3"/>
  <c r="A4" i="3"/>
  <c r="B4" i="3"/>
  <c r="C4" i="3"/>
  <c r="D4" i="3"/>
  <c r="E4" i="3"/>
  <c r="A5" i="3"/>
  <c r="B5" i="3"/>
  <c r="C5" i="3"/>
  <c r="D5" i="3"/>
  <c r="E5" i="3"/>
  <c r="A6" i="3"/>
  <c r="B6" i="3"/>
  <c r="C6" i="3"/>
  <c r="D6" i="3"/>
  <c r="E6" i="3"/>
  <c r="A7" i="3"/>
  <c r="B7" i="3"/>
  <c r="C7" i="3"/>
  <c r="D7" i="3"/>
  <c r="E7" i="3"/>
  <c r="A8" i="3"/>
  <c r="B8" i="3"/>
  <c r="C8" i="3"/>
  <c r="D8" i="3"/>
  <c r="E8" i="3"/>
  <c r="A9" i="3"/>
  <c r="B9" i="3"/>
  <c r="C9" i="3"/>
  <c r="D9" i="3"/>
  <c r="E9" i="3"/>
  <c r="A10" i="3"/>
  <c r="B10" i="3"/>
  <c r="C10" i="3"/>
  <c r="D10" i="3"/>
  <c r="E10" i="3"/>
  <c r="A11" i="3"/>
  <c r="B11" i="3"/>
  <c r="C11" i="3"/>
  <c r="D11" i="3"/>
  <c r="E11" i="3"/>
  <c r="A12" i="3"/>
  <c r="B12" i="3"/>
  <c r="C12" i="3"/>
  <c r="D12" i="3"/>
  <c r="E12" i="3"/>
  <c r="A13" i="3"/>
  <c r="B13" i="3"/>
  <c r="C13" i="3"/>
  <c r="D13" i="3"/>
  <c r="E13" i="3"/>
  <c r="A14" i="3"/>
  <c r="B14" i="3"/>
  <c r="C14" i="3"/>
  <c r="D14" i="3"/>
  <c r="E14" i="3"/>
  <c r="A15" i="3"/>
  <c r="B15" i="3"/>
  <c r="C15" i="3"/>
  <c r="D15" i="3"/>
  <c r="E15" i="3"/>
  <c r="A16" i="3"/>
  <c r="B16" i="3"/>
  <c r="C16" i="3"/>
  <c r="D16" i="3"/>
  <c r="E16" i="3"/>
  <c r="A17" i="3"/>
  <c r="B17" i="3"/>
  <c r="C17" i="3"/>
  <c r="D17" i="3"/>
  <c r="E17" i="3"/>
  <c r="A18" i="3"/>
  <c r="B18" i="3"/>
  <c r="C18" i="3"/>
  <c r="D18" i="3"/>
  <c r="E18" i="3"/>
  <c r="A19" i="3"/>
  <c r="B19" i="3"/>
  <c r="C19" i="3"/>
  <c r="D19" i="3"/>
  <c r="E19" i="3"/>
  <c r="A20" i="3"/>
  <c r="B20" i="3"/>
  <c r="C20" i="3"/>
  <c r="D20" i="3"/>
  <c r="E20" i="3"/>
  <c r="A21" i="3"/>
  <c r="B21" i="3"/>
  <c r="C21" i="3"/>
  <c r="D21" i="3"/>
  <c r="E21" i="3"/>
  <c r="A22" i="3"/>
  <c r="B22" i="3"/>
  <c r="C22" i="3"/>
  <c r="D22" i="3"/>
  <c r="E22" i="3"/>
  <c r="A23" i="3"/>
  <c r="B23" i="3"/>
  <c r="C23" i="3"/>
  <c r="D23" i="3"/>
  <c r="E23" i="3"/>
  <c r="A24" i="3"/>
  <c r="B24" i="3"/>
  <c r="C24" i="3"/>
  <c r="D24" i="3"/>
  <c r="E24" i="3"/>
  <c r="A25" i="3"/>
  <c r="B25" i="3"/>
  <c r="C25" i="3"/>
  <c r="D25" i="3"/>
  <c r="E25" i="3"/>
  <c r="A26" i="3"/>
  <c r="B26" i="3"/>
  <c r="C26" i="3"/>
  <c r="D26" i="3"/>
  <c r="E26" i="3"/>
  <c r="A27" i="3"/>
  <c r="B27" i="3"/>
  <c r="C27" i="3"/>
  <c r="D27" i="3"/>
  <c r="E27" i="3"/>
  <c r="A28" i="3"/>
  <c r="B28" i="3"/>
  <c r="C28" i="3"/>
  <c r="D28" i="3"/>
  <c r="E28" i="3"/>
  <c r="A29" i="3"/>
  <c r="B29" i="3"/>
  <c r="C29" i="3"/>
  <c r="D29" i="3"/>
  <c r="E29" i="3"/>
  <c r="A30" i="3"/>
  <c r="B30" i="3"/>
  <c r="C30" i="3"/>
  <c r="D30" i="3"/>
  <c r="E30" i="3"/>
  <c r="A31" i="3"/>
  <c r="B31" i="3"/>
  <c r="C31" i="3"/>
  <c r="D31" i="3"/>
  <c r="E31" i="3"/>
  <c r="A32" i="3"/>
  <c r="B32" i="3"/>
  <c r="C32" i="3"/>
  <c r="D32" i="3"/>
  <c r="E32" i="3"/>
  <c r="A33" i="3"/>
  <c r="B33" i="3"/>
  <c r="C33" i="3"/>
  <c r="D33" i="3"/>
  <c r="E33" i="3"/>
  <c r="A34" i="3"/>
  <c r="B34" i="3"/>
  <c r="C34" i="3"/>
  <c r="D34" i="3"/>
  <c r="E34" i="3"/>
  <c r="A35" i="3"/>
  <c r="B35" i="3"/>
  <c r="C35" i="3"/>
  <c r="D35" i="3"/>
  <c r="E35" i="3"/>
  <c r="A36" i="3"/>
  <c r="B36" i="3"/>
  <c r="C36" i="3"/>
  <c r="D36" i="3"/>
  <c r="E36" i="3"/>
  <c r="A37" i="3"/>
  <c r="B37" i="3"/>
  <c r="C37" i="3"/>
  <c r="D37" i="3"/>
  <c r="E37" i="3"/>
  <c r="A38" i="3"/>
  <c r="B38" i="3"/>
  <c r="C38" i="3"/>
  <c r="D38" i="3"/>
  <c r="E38" i="3"/>
  <c r="A39" i="3"/>
  <c r="B39" i="3"/>
  <c r="C39" i="3"/>
  <c r="D39" i="3"/>
  <c r="E39" i="3"/>
  <c r="A40" i="3"/>
  <c r="B40" i="3"/>
  <c r="C40" i="3"/>
  <c r="D40" i="3"/>
  <c r="E40" i="3"/>
  <c r="A41" i="3"/>
  <c r="B41" i="3"/>
  <c r="C41" i="3"/>
  <c r="D41" i="3"/>
  <c r="E41" i="3"/>
  <c r="A42" i="3"/>
  <c r="B42" i="3"/>
  <c r="C42" i="3"/>
  <c r="D42" i="3"/>
  <c r="E42" i="3"/>
  <c r="A43" i="3"/>
  <c r="B43" i="3"/>
  <c r="C43" i="3"/>
  <c r="D43" i="3"/>
  <c r="E43" i="3"/>
  <c r="A44" i="3"/>
  <c r="B44" i="3"/>
  <c r="C44" i="3"/>
  <c r="D44" i="3"/>
  <c r="E44" i="3"/>
  <c r="A45" i="3"/>
  <c r="B45" i="3"/>
  <c r="C45" i="3"/>
  <c r="D45" i="3"/>
  <c r="E45" i="3"/>
  <c r="A46" i="3"/>
  <c r="B46" i="3"/>
  <c r="C46" i="3"/>
  <c r="D46" i="3"/>
  <c r="E46" i="3"/>
  <c r="A47" i="3"/>
  <c r="B47" i="3"/>
  <c r="C47" i="3"/>
  <c r="D47" i="3"/>
  <c r="E47" i="3"/>
  <c r="A48" i="3"/>
  <c r="B48" i="3"/>
  <c r="C48" i="3"/>
  <c r="D48" i="3"/>
  <c r="E48" i="3"/>
  <c r="A49" i="3"/>
  <c r="B49" i="3"/>
  <c r="C49" i="3"/>
  <c r="D49" i="3"/>
  <c r="E49" i="3"/>
  <c r="A50" i="3"/>
  <c r="B50" i="3"/>
  <c r="C50" i="3"/>
  <c r="D50" i="3"/>
  <c r="E50" i="3"/>
  <c r="A51" i="3"/>
  <c r="B51" i="3"/>
  <c r="C51" i="3"/>
  <c r="D51" i="3"/>
  <c r="E51" i="3"/>
  <c r="A52" i="3"/>
  <c r="B52" i="3"/>
  <c r="C52" i="3"/>
  <c r="D52" i="3"/>
  <c r="E52" i="3"/>
  <c r="A53" i="3"/>
  <c r="B53" i="3"/>
  <c r="C53" i="3"/>
  <c r="D53" i="3"/>
  <c r="E53" i="3"/>
  <c r="A54" i="3"/>
  <c r="B54" i="3"/>
  <c r="C54" i="3"/>
  <c r="D54" i="3"/>
  <c r="E54" i="3"/>
  <c r="A55" i="3"/>
  <c r="B55" i="3"/>
  <c r="C55" i="3"/>
  <c r="D55" i="3"/>
  <c r="E55" i="3"/>
  <c r="A56" i="3"/>
  <c r="B56" i="3"/>
  <c r="C56" i="3"/>
  <c r="D56" i="3"/>
  <c r="E56" i="3"/>
  <c r="A57" i="3"/>
  <c r="B57" i="3"/>
  <c r="C57" i="3"/>
  <c r="D57" i="3"/>
  <c r="E57" i="3"/>
  <c r="A58" i="3"/>
  <c r="B58" i="3"/>
  <c r="C58" i="3"/>
  <c r="D58" i="3"/>
  <c r="E58" i="3"/>
  <c r="A59" i="3"/>
  <c r="B59" i="3"/>
  <c r="C59" i="3"/>
  <c r="D59" i="3"/>
  <c r="E59" i="3"/>
  <c r="A60" i="3"/>
  <c r="B60" i="3"/>
  <c r="C60" i="3"/>
  <c r="D60" i="3"/>
  <c r="E60" i="3"/>
  <c r="A61" i="3"/>
  <c r="B61" i="3"/>
  <c r="C61" i="3"/>
  <c r="D61" i="3"/>
  <c r="E61" i="3"/>
  <c r="A62" i="3"/>
  <c r="B62" i="3"/>
  <c r="C62" i="3"/>
  <c r="D62" i="3"/>
  <c r="E62" i="3"/>
  <c r="A63" i="3"/>
  <c r="B63" i="3"/>
  <c r="C63" i="3"/>
  <c r="D63" i="3"/>
  <c r="E63" i="3"/>
  <c r="A64" i="3"/>
  <c r="B64" i="3"/>
  <c r="C64" i="3"/>
  <c r="D64" i="3"/>
  <c r="E64" i="3"/>
  <c r="A65" i="3"/>
  <c r="B65" i="3"/>
  <c r="C65" i="3"/>
  <c r="D65" i="3"/>
  <c r="E65" i="3"/>
  <c r="A66" i="3"/>
  <c r="B66" i="3"/>
  <c r="C66" i="3"/>
  <c r="D66" i="3"/>
  <c r="E66" i="3"/>
  <c r="A67" i="3"/>
  <c r="B67" i="3"/>
  <c r="C67" i="3"/>
  <c r="D67" i="3"/>
  <c r="E67" i="3"/>
  <c r="A68" i="3"/>
  <c r="B68" i="3"/>
  <c r="C68" i="3"/>
  <c r="D68" i="3"/>
  <c r="E68" i="3"/>
  <c r="A69" i="3"/>
  <c r="B69" i="3"/>
  <c r="C69" i="3"/>
  <c r="D69" i="3"/>
  <c r="E69" i="3"/>
  <c r="A70" i="3"/>
  <c r="B70" i="3"/>
  <c r="C70" i="3"/>
  <c r="D70" i="3"/>
  <c r="E70" i="3"/>
  <c r="A71" i="3"/>
  <c r="B71" i="3"/>
  <c r="C71" i="3"/>
  <c r="D71" i="3"/>
  <c r="E71" i="3"/>
  <c r="A72" i="3"/>
  <c r="B72" i="3"/>
  <c r="C72" i="3"/>
  <c r="D72" i="3"/>
  <c r="E72" i="3"/>
  <c r="A73" i="3"/>
  <c r="B73" i="3"/>
  <c r="C73" i="3"/>
  <c r="D73" i="3"/>
  <c r="E73" i="3"/>
  <c r="A74" i="3"/>
  <c r="B74" i="3"/>
  <c r="C74" i="3"/>
  <c r="D74" i="3"/>
  <c r="E74" i="3"/>
  <c r="A75" i="3"/>
  <c r="B75" i="3"/>
  <c r="C75" i="3"/>
  <c r="D75" i="3"/>
  <c r="E75" i="3"/>
  <c r="A76" i="3"/>
  <c r="B76" i="3"/>
  <c r="C76" i="3"/>
  <c r="D76" i="3"/>
  <c r="E76" i="3"/>
  <c r="A77" i="3"/>
  <c r="B77" i="3"/>
  <c r="C77" i="3"/>
  <c r="D77" i="3"/>
  <c r="E77" i="3"/>
  <c r="A78" i="3"/>
  <c r="B78" i="3"/>
  <c r="C78" i="3"/>
  <c r="D78" i="3"/>
  <c r="E78" i="3"/>
  <c r="A79" i="3"/>
  <c r="B79" i="3"/>
  <c r="C79" i="3"/>
  <c r="D79" i="3"/>
  <c r="E79" i="3"/>
  <c r="A80" i="3"/>
  <c r="B80" i="3"/>
  <c r="C80" i="3"/>
  <c r="D80" i="3"/>
  <c r="E80" i="3"/>
  <c r="A81" i="3"/>
  <c r="B81" i="3"/>
  <c r="C81" i="3"/>
  <c r="D81" i="3"/>
  <c r="E81" i="3"/>
  <c r="A82" i="3"/>
  <c r="B82" i="3"/>
  <c r="C82" i="3"/>
  <c r="D82" i="3"/>
  <c r="E82" i="3"/>
  <c r="A83" i="3"/>
  <c r="B83" i="3"/>
  <c r="C83" i="3"/>
  <c r="D83" i="3"/>
  <c r="E83" i="3"/>
  <c r="A84" i="3"/>
  <c r="B84" i="3"/>
  <c r="C84" i="3"/>
  <c r="D84" i="3"/>
  <c r="E84" i="3"/>
  <c r="A85" i="3"/>
  <c r="B85" i="3"/>
  <c r="C85" i="3"/>
  <c r="D85" i="3"/>
  <c r="E85" i="3"/>
  <c r="A86" i="3"/>
  <c r="B86" i="3"/>
  <c r="C86" i="3"/>
  <c r="D86" i="3"/>
  <c r="E86" i="3"/>
  <c r="A87" i="3"/>
  <c r="B87" i="3"/>
  <c r="C87" i="3"/>
  <c r="D87" i="3"/>
  <c r="E87" i="3"/>
  <c r="A88" i="3"/>
  <c r="B88" i="3"/>
  <c r="C88" i="3"/>
  <c r="D88" i="3"/>
  <c r="E88" i="3"/>
  <c r="A89" i="3"/>
  <c r="B89" i="3"/>
  <c r="C89" i="3"/>
  <c r="D89" i="3"/>
  <c r="E89" i="3"/>
  <c r="A90" i="3"/>
  <c r="B90" i="3"/>
  <c r="C90" i="3"/>
  <c r="D90" i="3"/>
  <c r="E90" i="3"/>
  <c r="A91" i="3"/>
  <c r="B91" i="3"/>
  <c r="C91" i="3"/>
  <c r="D91" i="3"/>
  <c r="E91" i="3"/>
  <c r="A92" i="3"/>
  <c r="B92" i="3"/>
  <c r="C92" i="3"/>
  <c r="D92" i="3"/>
  <c r="E92" i="3"/>
  <c r="A93" i="3"/>
  <c r="B93" i="3"/>
  <c r="C93" i="3"/>
  <c r="D93" i="3"/>
  <c r="E93" i="3"/>
  <c r="A94" i="3"/>
  <c r="B94" i="3"/>
  <c r="C94" i="3"/>
  <c r="D94" i="3"/>
  <c r="E94" i="3"/>
  <c r="A95" i="3"/>
  <c r="B95" i="3"/>
  <c r="C95" i="3"/>
  <c r="D95" i="3"/>
  <c r="E95" i="3"/>
  <c r="A96" i="3"/>
  <c r="B96" i="3"/>
  <c r="C96" i="3"/>
  <c r="D96" i="3"/>
  <c r="E96" i="3"/>
  <c r="A97" i="3"/>
  <c r="B97" i="3"/>
  <c r="C97" i="3"/>
  <c r="D97" i="3"/>
  <c r="E97" i="3"/>
  <c r="A98" i="3"/>
  <c r="B98" i="3"/>
  <c r="C98" i="3"/>
  <c r="D98" i="3"/>
  <c r="E98" i="3"/>
  <c r="A99" i="3"/>
  <c r="B99" i="3"/>
  <c r="C99" i="3"/>
  <c r="D99" i="3"/>
  <c r="E99" i="3"/>
  <c r="A100" i="3"/>
  <c r="B100" i="3"/>
  <c r="C100" i="3"/>
  <c r="D100" i="3"/>
  <c r="E100" i="3"/>
  <c r="A101" i="3"/>
  <c r="B101" i="3"/>
  <c r="C101" i="3"/>
  <c r="D101" i="3"/>
  <c r="E101" i="3"/>
  <c r="A102" i="3"/>
  <c r="B102" i="3"/>
  <c r="C102" i="3"/>
  <c r="D102" i="3"/>
  <c r="E102" i="3"/>
  <c r="A103" i="3"/>
  <c r="B103" i="3"/>
  <c r="C103" i="3"/>
  <c r="D103" i="3"/>
  <c r="E103" i="3"/>
  <c r="A104" i="3"/>
  <c r="B104" i="3"/>
  <c r="C104" i="3"/>
  <c r="D104" i="3"/>
  <c r="E104" i="3"/>
  <c r="A105" i="3"/>
  <c r="B105" i="3"/>
  <c r="C105" i="3"/>
  <c r="D105" i="3"/>
  <c r="E105" i="3"/>
  <c r="A106" i="3"/>
  <c r="B106" i="3"/>
  <c r="C106" i="3"/>
  <c r="D106" i="3"/>
  <c r="E106" i="3"/>
  <c r="A107" i="3"/>
  <c r="B107" i="3"/>
  <c r="C107" i="3"/>
  <c r="D107" i="3"/>
  <c r="E107" i="3"/>
  <c r="A108" i="3"/>
  <c r="B108" i="3"/>
  <c r="C108" i="3"/>
  <c r="D108" i="3"/>
  <c r="E108" i="3"/>
  <c r="A109" i="3"/>
  <c r="B109" i="3"/>
  <c r="C109" i="3"/>
  <c r="D109" i="3"/>
  <c r="E109" i="3"/>
  <c r="A110" i="3"/>
  <c r="B110" i="3"/>
  <c r="C110" i="3"/>
  <c r="D110" i="3"/>
  <c r="E110" i="3"/>
  <c r="A111" i="3"/>
  <c r="B111" i="3"/>
  <c r="C111" i="3"/>
  <c r="D111" i="3"/>
  <c r="E111" i="3"/>
  <c r="A112" i="3"/>
  <c r="B112" i="3"/>
  <c r="C112" i="3"/>
  <c r="D112" i="3"/>
  <c r="E112" i="3"/>
  <c r="A113" i="3"/>
  <c r="B113" i="3"/>
  <c r="C113" i="3"/>
  <c r="D113" i="3"/>
  <c r="E113" i="3"/>
  <c r="A114" i="3"/>
  <c r="B114" i="3"/>
  <c r="C114" i="3"/>
  <c r="D114" i="3"/>
  <c r="E114" i="3"/>
  <c r="A115" i="3"/>
  <c r="B115" i="3"/>
  <c r="C115" i="3"/>
  <c r="D115" i="3"/>
  <c r="E115" i="3"/>
  <c r="A116" i="3"/>
  <c r="B116" i="3"/>
  <c r="C116" i="3"/>
  <c r="D116" i="3"/>
  <c r="E116" i="3"/>
  <c r="A117" i="3"/>
  <c r="B117" i="3"/>
  <c r="C117" i="3"/>
  <c r="D117" i="3"/>
  <c r="E117" i="3"/>
  <c r="A118" i="3"/>
  <c r="B118" i="3"/>
  <c r="C118" i="3"/>
  <c r="D118" i="3"/>
  <c r="E118" i="3"/>
  <c r="A119" i="3"/>
  <c r="B119" i="3"/>
  <c r="C119" i="3"/>
  <c r="D119" i="3"/>
  <c r="E119" i="3"/>
  <c r="A120" i="3"/>
  <c r="B120" i="3"/>
  <c r="C120" i="3"/>
  <c r="D120" i="3"/>
  <c r="E120" i="3"/>
  <c r="A121" i="3"/>
  <c r="B121" i="3"/>
  <c r="C121" i="3"/>
  <c r="D121" i="3"/>
  <c r="E121" i="3"/>
  <c r="A122" i="3"/>
  <c r="B122" i="3"/>
  <c r="C122" i="3"/>
  <c r="D122" i="3"/>
  <c r="E122" i="3"/>
  <c r="A123" i="3"/>
  <c r="B123" i="3"/>
  <c r="C123" i="3"/>
  <c r="D123" i="3"/>
  <c r="E123" i="3"/>
  <c r="A124" i="3"/>
  <c r="B124" i="3"/>
  <c r="C124" i="3"/>
  <c r="D124" i="3"/>
  <c r="E124" i="3"/>
  <c r="A125" i="3"/>
  <c r="B125" i="3"/>
  <c r="C125" i="3"/>
  <c r="D125" i="3"/>
  <c r="E125" i="3"/>
  <c r="A126" i="3"/>
  <c r="B126" i="3"/>
  <c r="C126" i="3"/>
  <c r="D126" i="3"/>
  <c r="E126" i="3"/>
  <c r="A127" i="3"/>
  <c r="B127" i="3"/>
  <c r="C127" i="3"/>
  <c r="D127" i="3"/>
  <c r="E127" i="3"/>
  <c r="A128" i="3"/>
  <c r="B128" i="3"/>
  <c r="C128" i="3"/>
  <c r="D128" i="3"/>
  <c r="E128" i="3"/>
  <c r="A129" i="3"/>
  <c r="B129" i="3"/>
  <c r="C129" i="3"/>
  <c r="D129" i="3"/>
  <c r="E129" i="3"/>
  <c r="A130" i="3"/>
  <c r="B130" i="3"/>
  <c r="C130" i="3"/>
  <c r="D130" i="3"/>
  <c r="E130" i="3"/>
  <c r="A131" i="3"/>
  <c r="B131" i="3"/>
  <c r="C131" i="3"/>
  <c r="D131" i="3"/>
  <c r="E131" i="3"/>
  <c r="A132" i="3"/>
  <c r="B132" i="3"/>
  <c r="C132" i="3"/>
  <c r="D132" i="3"/>
  <c r="E132" i="3"/>
  <c r="A133" i="3"/>
  <c r="B133" i="3"/>
  <c r="C133" i="3"/>
  <c r="D133" i="3"/>
  <c r="E133" i="3"/>
  <c r="A134" i="3"/>
  <c r="B134" i="3"/>
  <c r="C134" i="3"/>
  <c r="D134" i="3"/>
  <c r="E134" i="3"/>
  <c r="A135" i="3"/>
  <c r="B135" i="3"/>
  <c r="C135" i="3"/>
  <c r="D135" i="3"/>
  <c r="E135" i="3"/>
  <c r="A136" i="3"/>
  <c r="B136" i="3"/>
  <c r="C136" i="3"/>
  <c r="D136" i="3"/>
  <c r="E136" i="3"/>
  <c r="A137" i="3"/>
  <c r="B137" i="3"/>
  <c r="C137" i="3"/>
  <c r="D137" i="3"/>
  <c r="E137" i="3"/>
  <c r="A138" i="3"/>
  <c r="B138" i="3"/>
  <c r="C138" i="3"/>
  <c r="D138" i="3"/>
  <c r="E138" i="3"/>
  <c r="A139" i="3"/>
  <c r="B139" i="3"/>
  <c r="C139" i="3"/>
  <c r="D139" i="3"/>
  <c r="E139" i="3"/>
  <c r="A140" i="3"/>
  <c r="B140" i="3"/>
  <c r="C140" i="3"/>
  <c r="D140" i="3"/>
  <c r="E140" i="3"/>
  <c r="A141" i="3"/>
  <c r="B141" i="3"/>
  <c r="C141" i="3"/>
  <c r="D141" i="3"/>
  <c r="E141" i="3"/>
  <c r="A142" i="3"/>
  <c r="B142" i="3"/>
  <c r="C142" i="3"/>
  <c r="D142" i="3"/>
  <c r="E142" i="3"/>
  <c r="A143" i="3"/>
  <c r="B143" i="3"/>
  <c r="C143" i="3"/>
  <c r="D143" i="3"/>
  <c r="E143" i="3"/>
  <c r="A144" i="3"/>
  <c r="B144" i="3"/>
  <c r="C144" i="3"/>
  <c r="D144" i="3"/>
  <c r="E144" i="3"/>
  <c r="A145" i="3"/>
  <c r="B145" i="3"/>
  <c r="C145" i="3"/>
  <c r="D145" i="3"/>
  <c r="E145" i="3"/>
  <c r="A146" i="3"/>
  <c r="B146" i="3"/>
  <c r="C146" i="3"/>
  <c r="D146" i="3"/>
  <c r="E146" i="3"/>
  <c r="A147" i="3"/>
  <c r="B147" i="3"/>
  <c r="C147" i="3"/>
  <c r="D147" i="3"/>
  <c r="E147" i="3"/>
  <c r="A148" i="3"/>
  <c r="B148" i="3"/>
  <c r="C148" i="3"/>
  <c r="D148" i="3"/>
  <c r="E148" i="3"/>
  <c r="A149" i="3"/>
  <c r="B149" i="3"/>
  <c r="C149" i="3"/>
  <c r="D149" i="3"/>
  <c r="E149" i="3"/>
  <c r="A150" i="3"/>
  <c r="B150" i="3"/>
  <c r="C150" i="3"/>
  <c r="D150" i="3"/>
  <c r="E150" i="3"/>
  <c r="A151" i="3"/>
  <c r="B151" i="3"/>
  <c r="C151" i="3"/>
  <c r="D151" i="3"/>
  <c r="E151" i="3"/>
  <c r="A152" i="3"/>
  <c r="B152" i="3"/>
  <c r="C152" i="3"/>
  <c r="D152" i="3"/>
  <c r="E152" i="3"/>
  <c r="A153" i="3"/>
  <c r="B153" i="3"/>
  <c r="C153" i="3"/>
  <c r="D153" i="3"/>
  <c r="E153" i="3"/>
  <c r="A154" i="3"/>
  <c r="B154" i="3"/>
  <c r="C154" i="3"/>
  <c r="D154" i="3"/>
  <c r="E154" i="3"/>
  <c r="A155" i="3"/>
  <c r="B155" i="3"/>
  <c r="C155" i="3"/>
  <c r="D155" i="3"/>
  <c r="E155" i="3"/>
  <c r="A156" i="3"/>
  <c r="B156" i="3"/>
  <c r="C156" i="3"/>
  <c r="D156" i="3"/>
  <c r="E156" i="3"/>
  <c r="A157" i="3"/>
  <c r="B157" i="3"/>
  <c r="C157" i="3"/>
  <c r="D157" i="3"/>
  <c r="E157" i="3"/>
  <c r="A158" i="3"/>
  <c r="B158" i="3"/>
  <c r="C158" i="3"/>
  <c r="D158" i="3"/>
  <c r="E158" i="3"/>
  <c r="A159" i="3"/>
  <c r="B159" i="3"/>
  <c r="C159" i="3"/>
  <c r="D159" i="3"/>
  <c r="E159" i="3"/>
  <c r="A160" i="3"/>
  <c r="B160" i="3"/>
  <c r="C160" i="3"/>
  <c r="D160" i="3"/>
  <c r="E160" i="3"/>
  <c r="A161" i="3"/>
  <c r="B161" i="3"/>
  <c r="C161" i="3"/>
  <c r="D161" i="3"/>
  <c r="E161" i="3"/>
  <c r="A162" i="3"/>
  <c r="B162" i="3"/>
  <c r="C162" i="3"/>
  <c r="D162" i="3"/>
  <c r="E162" i="3"/>
  <c r="A163" i="3"/>
  <c r="B163" i="3"/>
  <c r="C163" i="3"/>
  <c r="D163" i="3"/>
  <c r="E163" i="3"/>
  <c r="A164" i="3"/>
  <c r="B164" i="3"/>
  <c r="C164" i="3"/>
  <c r="D164" i="3"/>
  <c r="E164" i="3"/>
  <c r="A165" i="3"/>
  <c r="B165" i="3"/>
  <c r="C165" i="3"/>
  <c r="D165" i="3"/>
  <c r="E165" i="3"/>
  <c r="A166" i="3"/>
  <c r="B166" i="3"/>
  <c r="C166" i="3"/>
  <c r="D166" i="3"/>
  <c r="E166" i="3"/>
  <c r="A167" i="3"/>
  <c r="B167" i="3"/>
  <c r="C167" i="3"/>
  <c r="D167" i="3"/>
  <c r="E167" i="3"/>
  <c r="A168" i="3"/>
  <c r="B168" i="3"/>
  <c r="C168" i="3"/>
  <c r="D168" i="3"/>
  <c r="E168" i="3"/>
  <c r="A169" i="3"/>
  <c r="B169" i="3"/>
  <c r="C169" i="3"/>
  <c r="D169" i="3"/>
  <c r="E169" i="3"/>
  <c r="A170" i="3"/>
  <c r="B170" i="3"/>
  <c r="C170" i="3"/>
  <c r="D170" i="3"/>
  <c r="E170" i="3"/>
  <c r="A171" i="3"/>
  <c r="B171" i="3"/>
  <c r="C171" i="3"/>
  <c r="D171" i="3"/>
  <c r="E171" i="3"/>
  <c r="A172" i="3"/>
  <c r="B172" i="3"/>
  <c r="C172" i="3"/>
  <c r="D172" i="3"/>
  <c r="E172" i="3"/>
  <c r="A173" i="3"/>
  <c r="B173" i="3"/>
  <c r="C173" i="3"/>
  <c r="D173" i="3"/>
  <c r="E173" i="3"/>
  <c r="A174" i="3"/>
  <c r="B174" i="3"/>
  <c r="C174" i="3"/>
  <c r="D174" i="3"/>
  <c r="E174" i="3"/>
  <c r="A175" i="3"/>
  <c r="B175" i="3"/>
  <c r="C175" i="3"/>
  <c r="D175" i="3"/>
  <c r="E175" i="3"/>
  <c r="A176" i="3"/>
  <c r="B176" i="3"/>
  <c r="C176" i="3"/>
  <c r="D176" i="3"/>
  <c r="E176" i="3"/>
  <c r="A177" i="3"/>
  <c r="B177" i="3"/>
  <c r="C177" i="3"/>
  <c r="D177" i="3"/>
  <c r="E177" i="3"/>
  <c r="A178" i="3"/>
  <c r="B178" i="3"/>
  <c r="C178" i="3"/>
  <c r="D178" i="3"/>
  <c r="E178" i="3"/>
  <c r="A179" i="3"/>
  <c r="B179" i="3"/>
  <c r="C179" i="3"/>
  <c r="D179" i="3"/>
  <c r="E179" i="3"/>
  <c r="A180" i="3"/>
  <c r="B180" i="3"/>
  <c r="C180" i="3"/>
  <c r="D180" i="3"/>
  <c r="E180" i="3"/>
  <c r="A181" i="3"/>
  <c r="B181" i="3"/>
  <c r="C181" i="3"/>
  <c r="D181" i="3"/>
  <c r="E181" i="3"/>
  <c r="A182" i="3"/>
  <c r="B182" i="3"/>
  <c r="C182" i="3"/>
  <c r="D182" i="3"/>
  <c r="E182" i="3"/>
  <c r="A183" i="3"/>
  <c r="B183" i="3"/>
  <c r="C183" i="3"/>
  <c r="D183" i="3"/>
  <c r="E183" i="3"/>
  <c r="A184" i="3"/>
  <c r="B184" i="3"/>
  <c r="C184" i="3"/>
  <c r="D184" i="3"/>
  <c r="E184" i="3"/>
  <c r="A185" i="3"/>
  <c r="B185" i="3"/>
  <c r="C185" i="3"/>
  <c r="D185" i="3"/>
  <c r="E185" i="3"/>
  <c r="A186" i="3"/>
  <c r="B186" i="3"/>
  <c r="C186" i="3"/>
  <c r="D186" i="3"/>
  <c r="E186" i="3"/>
  <c r="A187" i="3"/>
  <c r="B187" i="3"/>
  <c r="C187" i="3"/>
  <c r="D187" i="3"/>
  <c r="E187" i="3"/>
  <c r="A188" i="3"/>
  <c r="B188" i="3"/>
  <c r="C188" i="3"/>
  <c r="D188" i="3"/>
  <c r="E188" i="3"/>
  <c r="A189" i="3"/>
  <c r="B189" i="3"/>
  <c r="C189" i="3"/>
  <c r="D189" i="3"/>
  <c r="E189" i="3"/>
  <c r="A190" i="3"/>
  <c r="B190" i="3"/>
  <c r="C190" i="3"/>
  <c r="D190" i="3"/>
  <c r="E190" i="3"/>
  <c r="A191" i="3"/>
  <c r="B191" i="3"/>
  <c r="C191" i="3"/>
  <c r="D191" i="3"/>
  <c r="E191" i="3"/>
  <c r="A192" i="3"/>
  <c r="B192" i="3"/>
  <c r="C192" i="3"/>
  <c r="D192" i="3"/>
  <c r="E192" i="3"/>
  <c r="A193" i="3"/>
  <c r="B193" i="3"/>
  <c r="C193" i="3"/>
  <c r="D193" i="3"/>
  <c r="E193" i="3"/>
  <c r="A194" i="3"/>
  <c r="B194" i="3"/>
  <c r="C194" i="3"/>
  <c r="D194" i="3"/>
  <c r="E194" i="3"/>
  <c r="A195" i="3"/>
  <c r="B195" i="3"/>
  <c r="C195" i="3"/>
  <c r="D195" i="3"/>
  <c r="E195" i="3"/>
  <c r="A196" i="3"/>
  <c r="B196" i="3"/>
  <c r="C196" i="3"/>
  <c r="D196" i="3"/>
  <c r="E196" i="3"/>
  <c r="A197" i="3"/>
  <c r="B197" i="3"/>
  <c r="C197" i="3"/>
  <c r="D197" i="3"/>
  <c r="E197" i="3"/>
  <c r="A198" i="3"/>
  <c r="B198" i="3"/>
  <c r="C198" i="3"/>
  <c r="D198" i="3"/>
  <c r="E198" i="3"/>
  <c r="A199" i="3"/>
  <c r="B199" i="3"/>
  <c r="C199" i="3"/>
  <c r="D199" i="3"/>
  <c r="E199" i="3"/>
  <c r="A200" i="3"/>
  <c r="B200" i="3"/>
  <c r="C200" i="3"/>
  <c r="D200" i="3"/>
  <c r="E200" i="3"/>
  <c r="G53" i="1"/>
  <c r="H53" i="1"/>
  <c r="I53" i="1"/>
  <c r="J53" i="1"/>
  <c r="K53" i="1"/>
  <c r="G54" i="1"/>
  <c r="H54" i="1"/>
  <c r="I54" i="1"/>
  <c r="J54" i="1"/>
  <c r="K54" i="1"/>
  <c r="G55" i="1"/>
  <c r="H55" i="1"/>
  <c r="I55" i="1"/>
  <c r="J55" i="1"/>
  <c r="K55" i="1"/>
  <c r="G56" i="1"/>
  <c r="H56" i="1"/>
  <c r="I56" i="1"/>
  <c r="J56" i="1"/>
  <c r="K56" i="1"/>
  <c r="H52" i="1"/>
  <c r="I52" i="1"/>
  <c r="J52" i="1"/>
  <c r="K52" i="1"/>
  <c r="G52" i="1"/>
  <c r="A52" i="1" a="1"/>
  <c r="A52" i="1"/>
  <c r="B52" i="1"/>
  <c r="C52" i="1"/>
  <c r="D52" i="1"/>
  <c r="E52" i="1"/>
  <c r="A53" i="1"/>
  <c r="B53" i="1"/>
  <c r="C53" i="1"/>
  <c r="D53" i="1"/>
  <c r="E53" i="1"/>
  <c r="A54" i="1"/>
  <c r="B54" i="1"/>
  <c r="C54" i="1"/>
  <c r="D54" i="1"/>
  <c r="E54" i="1"/>
  <c r="A55" i="1"/>
  <c r="B55" i="1"/>
  <c r="C55" i="1"/>
  <c r="D55" i="1"/>
  <c r="E55" i="1"/>
  <c r="A56" i="1"/>
  <c r="B56" i="1"/>
  <c r="C56" i="1"/>
  <c r="D56" i="1"/>
  <c r="E56" i="1"/>
  <c r="A36" i="1" a="1"/>
  <c r="E40" i="1"/>
  <c r="E39" i="1"/>
  <c r="E38" i="1"/>
  <c r="A36" i="1"/>
  <c r="B36" i="1"/>
  <c r="C36" i="1"/>
  <c r="D36" i="1"/>
  <c r="E36" i="1"/>
  <c r="A37" i="1"/>
  <c r="B37" i="1"/>
  <c r="C37" i="1"/>
  <c r="D37" i="1"/>
  <c r="E37" i="1"/>
  <c r="A38" i="1"/>
  <c r="B38" i="1"/>
  <c r="C38" i="1"/>
  <c r="D38" i="1"/>
  <c r="A39" i="1"/>
  <c r="B39" i="1"/>
  <c r="C39" i="1"/>
  <c r="D39" i="1"/>
  <c r="A40" i="1"/>
  <c r="B40" i="1"/>
  <c r="C40" i="1"/>
  <c r="D40" i="1"/>
  <c r="H23" i="1"/>
  <c r="B23" i="1"/>
  <c r="E64" i="1"/>
  <c r="E63" i="1"/>
  <c r="D63" i="1"/>
  <c r="D62" i="1"/>
  <c r="E62" i="1"/>
  <c r="C62" i="1"/>
  <c r="C61" i="1"/>
  <c r="D61" i="1"/>
  <c r="E61" i="1"/>
  <c r="B61" i="1"/>
  <c r="A60" i="1"/>
  <c r="B60" i="1"/>
  <c r="C60" i="1"/>
  <c r="D60" i="1"/>
  <c r="E60" i="1"/>
  <c r="B14" i="1"/>
  <c r="C14" i="1"/>
  <c r="D14" i="1"/>
  <c r="E14" i="1"/>
  <c r="A15" i="1"/>
  <c r="C15" i="1"/>
  <c r="D15" i="1"/>
  <c r="E15" i="1"/>
  <c r="A16" i="1"/>
  <c r="B16" i="1"/>
  <c r="D16" i="1"/>
  <c r="E16" i="1"/>
  <c r="A17" i="1"/>
  <c r="B17" i="1"/>
  <c r="C17" i="1"/>
  <c r="E17" i="1"/>
  <c r="A18" i="1"/>
  <c r="B18" i="1"/>
  <c r="C18" i="1"/>
  <c r="D18" i="1"/>
</calcChain>
</file>

<file path=xl/sharedStrings.xml><?xml version="1.0" encoding="utf-8"?>
<sst xmlns="http://schemas.openxmlformats.org/spreadsheetml/2006/main" count="22" uniqueCount="20">
  <si>
    <t>Diagonalized</t>
  </si>
  <si>
    <t>Empirical covariance matrix of correlated random numbers</t>
  </si>
  <si>
    <t>Trace:</t>
  </si>
  <si>
    <t>Positive Part:</t>
  </si>
  <si>
    <t>Eigenvalues</t>
  </si>
  <si>
    <t>Regularized Eigenvalues</t>
  </si>
  <si>
    <t>Regularized diagonal matrix r</t>
  </si>
  <si>
    <t>Regularization</t>
  </si>
  <si>
    <t>Transpose of e</t>
  </si>
  <si>
    <t>Sqrt r</t>
  </si>
  <si>
    <t>Eigenvectors e of m</t>
  </si>
  <si>
    <t>Test Matrix m</t>
  </si>
  <si>
    <t>e*r</t>
  </si>
  <si>
    <t>transpose(s)</t>
  </si>
  <si>
    <t xml:space="preserve">s=e*r*transpose(e) </t>
  </si>
  <si>
    <t>Rotating sqrt of diagonal matrix back</t>
  </si>
  <si>
    <t>Covariance matrix corresponding to s</t>
  </si>
  <si>
    <t>s*transpose(s)</t>
  </si>
  <si>
    <t>original covariance matrix</t>
  </si>
  <si>
    <t>Spectral Decomposition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</si>
</sst>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9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01">
    <xf numFmtId="0" fontId="0" fillId="0" borderId="0" xfId="0"/>
    <xf numFmtId="0" fontId="0" fillId="0" borderId="0" xfId="0" applyBorder="1"/>
    <xf numFmtId="164" fontId="0" fillId="0" borderId="0" xfId="0" applyNumberFormat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4" fillId="0" borderId="0" xfId="0" applyFont="1" applyAlignment="1">
      <alignment horizontal="right"/>
    </xf>
    <xf numFmtId="2" fontId="0" fillId="0" borderId="1" xfId="0" applyNumberFormat="1" applyBorder="1"/>
    <xf numFmtId="2" fontId="0" fillId="0" borderId="2" xfId="0" applyNumberFormat="1" applyBorder="1"/>
    <xf numFmtId="2" fontId="0" fillId="0" borderId="3" xfId="0" applyNumberFormat="1" applyBorder="1"/>
    <xf numFmtId="2" fontId="0" fillId="0" borderId="4" xfId="0" applyNumberFormat="1" applyBorder="1"/>
    <xf numFmtId="2" fontId="0" fillId="0" borderId="0" xfId="0" applyNumberFormat="1" applyBorder="1"/>
    <xf numFmtId="2" fontId="0" fillId="0" borderId="5" xfId="0" applyNumberFormat="1" applyBorder="1"/>
    <xf numFmtId="2" fontId="0" fillId="0" borderId="6" xfId="0" applyNumberFormat="1" applyBorder="1"/>
    <xf numFmtId="2" fontId="0" fillId="0" borderId="7" xfId="0" applyNumberFormat="1" applyBorder="1"/>
    <xf numFmtId="2" fontId="0" fillId="0" borderId="8" xfId="0" applyNumberFormat="1" applyBorder="1"/>
    <xf numFmtId="2" fontId="0" fillId="2" borderId="1" xfId="0" applyNumberFormat="1" applyFill="1" applyBorder="1"/>
    <xf numFmtId="2" fontId="0" fillId="4" borderId="0" xfId="0" applyNumberFormat="1" applyFill="1" applyBorder="1"/>
    <xf numFmtId="2" fontId="0" fillId="4" borderId="8" xfId="0" applyNumberFormat="1" applyFill="1" applyBorder="1"/>
    <xf numFmtId="2" fontId="0" fillId="0" borderId="10" xfId="0" applyNumberFormat="1" applyBorder="1"/>
    <xf numFmtId="2" fontId="0" fillId="0" borderId="1" xfId="0" applyNumberFormat="1" applyFont="1" applyBorder="1"/>
    <xf numFmtId="2" fontId="0" fillId="0" borderId="2" xfId="0" applyNumberFormat="1" applyFont="1" applyBorder="1"/>
    <xf numFmtId="2" fontId="0" fillId="0" borderId="4" xfId="0" applyNumberFormat="1" applyFont="1" applyBorder="1"/>
    <xf numFmtId="2" fontId="0" fillId="0" borderId="0" xfId="0" applyNumberFormat="1" applyFont="1" applyBorder="1"/>
    <xf numFmtId="2" fontId="0" fillId="0" borderId="6" xfId="0" applyNumberFormat="1" applyFont="1" applyBorder="1"/>
    <xf numFmtId="2" fontId="0" fillId="0" borderId="7" xfId="0" applyNumberFormat="1" applyFont="1" applyBorder="1"/>
    <xf numFmtId="2" fontId="0" fillId="0" borderId="11" xfId="0" applyNumberFormat="1" applyBorder="1"/>
    <xf numFmtId="2" fontId="0" fillId="0" borderId="9" xfId="0" applyNumberFormat="1" applyFont="1" applyBorder="1" applyAlignment="1">
      <alignment horizontal="right"/>
    </xf>
    <xf numFmtId="2" fontId="0" fillId="0" borderId="10" xfId="0" applyNumberFormat="1" applyFont="1" applyBorder="1" applyAlignment="1">
      <alignment horizontal="right"/>
    </xf>
    <xf numFmtId="2" fontId="0" fillId="4" borderId="1" xfId="0" applyNumberFormat="1" applyFont="1" applyFill="1" applyBorder="1"/>
    <xf numFmtId="2" fontId="0" fillId="4" borderId="0" xfId="0" applyNumberFormat="1" applyFont="1" applyFill="1" applyBorder="1"/>
    <xf numFmtId="2" fontId="5" fillId="4" borderId="17" xfId="0" applyNumberFormat="1" applyFont="1" applyFill="1" applyBorder="1"/>
    <xf numFmtId="2" fontId="0" fillId="0" borderId="18" xfId="0" applyNumberFormat="1" applyFont="1" applyBorder="1"/>
    <xf numFmtId="2" fontId="0" fillId="0" borderId="15" xfId="0" applyNumberFormat="1" applyBorder="1"/>
    <xf numFmtId="2" fontId="0" fillId="0" borderId="16" xfId="0" applyNumberFormat="1" applyFont="1" applyBorder="1"/>
    <xf numFmtId="2" fontId="0" fillId="0" borderId="19" xfId="0" applyNumberFormat="1" applyBorder="1"/>
    <xf numFmtId="2" fontId="0" fillId="4" borderId="20" xfId="0" applyNumberFormat="1" applyFont="1" applyFill="1" applyBorder="1"/>
    <xf numFmtId="164" fontId="0" fillId="0" borderId="15" xfId="0" applyNumberFormat="1" applyBorder="1"/>
    <xf numFmtId="0" fontId="0" fillId="0" borderId="16" xfId="0" applyBorder="1"/>
    <xf numFmtId="2" fontId="0" fillId="0" borderId="21" xfId="0" applyNumberFormat="1" applyBorder="1"/>
    <xf numFmtId="2" fontId="0" fillId="0" borderId="22" xfId="0" applyNumberFormat="1" applyFont="1" applyBorder="1" applyAlignment="1">
      <alignment horizontal="right"/>
    </xf>
    <xf numFmtId="164" fontId="4" fillId="0" borderId="15" xfId="0" applyNumberFormat="1" applyFont="1" applyBorder="1" applyAlignment="1">
      <alignment horizontal="right"/>
    </xf>
    <xf numFmtId="0" fontId="4" fillId="0" borderId="0" xfId="0" applyFont="1" applyBorder="1"/>
    <xf numFmtId="164" fontId="4" fillId="0" borderId="23" xfId="0" applyNumberFormat="1" applyFont="1" applyBorder="1" applyAlignment="1">
      <alignment horizontal="right"/>
    </xf>
    <xf numFmtId="2" fontId="0" fillId="0" borderId="24" xfId="0" applyNumberFormat="1" applyBorder="1"/>
    <xf numFmtId="164" fontId="0" fillId="0" borderId="24" xfId="0" applyNumberFormat="1" applyBorder="1"/>
    <xf numFmtId="0" fontId="0" fillId="0" borderId="24" xfId="0" applyBorder="1"/>
    <xf numFmtId="0" fontId="0" fillId="0" borderId="25" xfId="0" applyBorder="1"/>
    <xf numFmtId="2" fontId="0" fillId="2" borderId="2" xfId="0" applyNumberFormat="1" applyFill="1" applyBorder="1"/>
    <xf numFmtId="2" fontId="0" fillId="2" borderId="3" xfId="0" applyNumberFormat="1" applyFill="1" applyBorder="1"/>
    <xf numFmtId="2" fontId="0" fillId="3" borderId="4" xfId="0" applyNumberFormat="1" applyFill="1" applyBorder="1"/>
    <xf numFmtId="2" fontId="0" fillId="2" borderId="0" xfId="0" applyNumberFormat="1" applyFill="1" applyBorder="1"/>
    <xf numFmtId="2" fontId="0" fillId="2" borderId="5" xfId="0" applyNumberFormat="1" applyFill="1" applyBorder="1"/>
    <xf numFmtId="2" fontId="0" fillId="3" borderId="0" xfId="0" applyNumberFormat="1" applyFill="1" applyBorder="1"/>
    <xf numFmtId="2" fontId="0" fillId="3" borderId="6" xfId="0" applyNumberFormat="1" applyFill="1" applyBorder="1"/>
    <xf numFmtId="2" fontId="0" fillId="3" borderId="7" xfId="0" applyNumberFormat="1" applyFill="1" applyBorder="1"/>
    <xf numFmtId="2" fontId="0" fillId="2" borderId="8" xfId="0" applyNumberFormat="1" applyFill="1" applyBorder="1"/>
    <xf numFmtId="164" fontId="4" fillId="0" borderId="0" xfId="0" applyNumberFormat="1" applyFont="1" applyBorder="1" applyAlignment="1">
      <alignment horizontal="right"/>
    </xf>
    <xf numFmtId="2" fontId="0" fillId="5" borderId="2" xfId="0" applyNumberFormat="1" applyFill="1" applyBorder="1"/>
    <xf numFmtId="2" fontId="0" fillId="5" borderId="3" xfId="0" applyNumberFormat="1" applyFill="1" applyBorder="1"/>
    <xf numFmtId="2" fontId="0" fillId="5" borderId="0" xfId="0" applyNumberFormat="1" applyFill="1" applyBorder="1"/>
    <xf numFmtId="2" fontId="0" fillId="5" borderId="5" xfId="0" applyNumberFormat="1" applyFill="1" applyBorder="1"/>
    <xf numFmtId="2" fontId="0" fillId="5" borderId="7" xfId="0" applyNumberFormat="1" applyFill="1" applyBorder="1"/>
    <xf numFmtId="2" fontId="0" fillId="5" borderId="8" xfId="0" applyNumberFormat="1" applyFill="1" applyBorder="1"/>
    <xf numFmtId="2" fontId="0" fillId="0" borderId="17" xfId="0" applyNumberFormat="1" applyBorder="1"/>
    <xf numFmtId="2" fontId="0" fillId="0" borderId="18" xfId="0" applyNumberFormat="1" applyBorder="1"/>
    <xf numFmtId="2" fontId="0" fillId="0" borderId="16" xfId="0" applyNumberFormat="1" applyBorder="1"/>
    <xf numFmtId="0" fontId="0" fillId="0" borderId="15" xfId="0" applyBorder="1"/>
    <xf numFmtId="2" fontId="0" fillId="0" borderId="20" xfId="0" applyNumberFormat="1" applyBorder="1"/>
    <xf numFmtId="2" fontId="0" fillId="0" borderId="18" xfId="0" applyNumberFormat="1" applyFont="1" applyFill="1" applyBorder="1"/>
    <xf numFmtId="2" fontId="0" fillId="5" borderId="17" xfId="0" applyNumberFormat="1" applyFill="1" applyBorder="1"/>
    <xf numFmtId="2" fontId="0" fillId="5" borderId="15" xfId="0" applyNumberFormat="1" applyFill="1" applyBorder="1"/>
    <xf numFmtId="2" fontId="0" fillId="5" borderId="19" xfId="0" applyNumberFormat="1" applyFill="1" applyBorder="1"/>
    <xf numFmtId="0" fontId="0" fillId="0" borderId="23" xfId="0" applyBorder="1"/>
    <xf numFmtId="2" fontId="0" fillId="3" borderId="1" xfId="0" applyNumberFormat="1" applyFill="1" applyBorder="1"/>
    <xf numFmtId="2" fontId="0" fillId="3" borderId="2" xfId="0" applyNumberFormat="1" applyFill="1" applyBorder="1"/>
    <xf numFmtId="2" fontId="0" fillId="3" borderId="18" xfId="0" applyNumberFormat="1" applyFill="1" applyBorder="1"/>
    <xf numFmtId="2" fontId="0" fillId="3" borderId="16" xfId="0" applyNumberFormat="1" applyFill="1" applyBorder="1"/>
    <xf numFmtId="2" fontId="0" fillId="3" borderId="20" xfId="0" applyNumberFormat="1" applyFill="1" applyBorder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164" fontId="4" fillId="0" borderId="0" xfId="0" applyNumberFormat="1" applyFont="1" applyBorder="1" applyAlignment="1">
      <alignment horizontal="center"/>
    </xf>
    <xf numFmtId="164" fontId="4" fillId="0" borderId="16" xfId="0" applyNumberFormat="1" applyFont="1" applyBorder="1" applyAlignment="1">
      <alignment horizontal="center"/>
    </xf>
    <xf numFmtId="164" fontId="4" fillId="0" borderId="7" xfId="0" applyNumberFormat="1" applyFont="1" applyBorder="1" applyAlignment="1">
      <alignment horizontal="center"/>
    </xf>
    <xf numFmtId="164" fontId="4" fillId="0" borderId="20" xfId="0" applyNumberFormat="1" applyFont="1" applyBorder="1" applyAlignment="1">
      <alignment horizontal="center"/>
    </xf>
    <xf numFmtId="0" fontId="4" fillId="0" borderId="19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164" fontId="6" fillId="0" borderId="12" xfId="0" applyNumberFormat="1" applyFont="1" applyBorder="1" applyAlignment="1">
      <alignment horizontal="center"/>
    </xf>
    <xf numFmtId="164" fontId="6" fillId="0" borderId="13" xfId="0" applyNumberFormat="1" applyFont="1" applyBorder="1" applyAlignment="1">
      <alignment horizontal="center"/>
    </xf>
    <xf numFmtId="164" fontId="6" fillId="0" borderId="14" xfId="0" applyNumberFormat="1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</cellXfs>
  <cellStyles count="3">
    <cellStyle name="Followed Hyperlink" xfId="2" builtinId="9" hidden="1"/>
    <cellStyle name="Hyperlink" xfId="1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21</xdr:row>
      <xdr:rowOff>114300</xdr:rowOff>
    </xdr:from>
    <xdr:to>
      <xdr:col>5</xdr:col>
      <xdr:colOff>809625</xdr:colOff>
      <xdr:row>23</xdr:row>
      <xdr:rowOff>114300</xdr:rowOff>
    </xdr:to>
    <xdr:sp macro="" textlink="">
      <xdr:nvSpPr>
        <xdr:cNvPr id="2" name="Right Arrow 1"/>
        <xdr:cNvSpPr/>
      </xdr:nvSpPr>
      <xdr:spPr>
        <a:xfrm>
          <a:off x="4724400" y="3962400"/>
          <a:ext cx="800100" cy="400050"/>
        </a:xfrm>
        <a:prstGeom prst="rightArrow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</xdr:col>
      <xdr:colOff>523875</xdr:colOff>
      <xdr:row>23</xdr:row>
      <xdr:rowOff>104775</xdr:rowOff>
    </xdr:from>
    <xdr:ext cx="2107500" cy="264560"/>
    <xdr:sp macro="" textlink="">
      <xdr:nvSpPr>
        <xdr:cNvPr id="3" name="TextBox 2"/>
        <xdr:cNvSpPr txBox="1"/>
      </xdr:nvSpPr>
      <xdr:spPr>
        <a:xfrm>
          <a:off x="4371975" y="4352925"/>
          <a:ext cx="2107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solidFill>
                <a:srgbClr val="FF0000"/>
              </a:solidFill>
            </a:rPr>
            <a:t>Trace=total variance is invariant!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64"/>
  <sheetViews>
    <sheetView showGridLines="0" tabSelected="1" showRuler="0" showWhiteSpace="0" zoomScaleNormal="100" zoomScalePageLayoutView="80" workbookViewId="0">
      <selection activeCell="G5" sqref="G5"/>
    </sheetView>
  </sheetViews>
  <sheetFormatPr defaultColWidth="11" defaultRowHeight="15.75" x14ac:dyDescent="0.25"/>
  <cols>
    <col min="1" max="2" width="13.5" bestFit="1" customWidth="1"/>
    <col min="3" max="3" width="12.125" bestFit="1" customWidth="1"/>
    <col min="4" max="5" width="11.375" bestFit="1" customWidth="1"/>
  </cols>
  <sheetData>
    <row r="1" spans="1:11" ht="23.25" x14ac:dyDescent="0.35">
      <c r="A1" s="84" t="s">
        <v>19</v>
      </c>
      <c r="B1" s="85"/>
      <c r="C1" s="85"/>
      <c r="D1" s="85"/>
      <c r="E1" s="85"/>
      <c r="F1" s="85"/>
      <c r="G1" s="85"/>
      <c r="H1" s="85"/>
      <c r="I1" s="85"/>
      <c r="J1" s="85"/>
      <c r="K1" s="85"/>
    </row>
    <row r="3" spans="1:11" x14ac:dyDescent="0.25">
      <c r="A3" s="86" t="s">
        <v>11</v>
      </c>
      <c r="B3" s="86"/>
      <c r="C3" s="86"/>
      <c r="D3" s="86"/>
      <c r="E3" s="86"/>
    </row>
    <row r="4" spans="1:11" x14ac:dyDescent="0.25">
      <c r="A4" s="21">
        <v>0.2</v>
      </c>
      <c r="B4" s="53">
        <v>0.2</v>
      </c>
      <c r="C4" s="53">
        <v>0</v>
      </c>
      <c r="D4" s="53">
        <v>0</v>
      </c>
      <c r="E4" s="54">
        <v>0</v>
      </c>
    </row>
    <row r="5" spans="1:11" x14ac:dyDescent="0.25">
      <c r="A5" s="55">
        <f>B4</f>
        <v>0.2</v>
      </c>
      <c r="B5" s="56">
        <v>0.4</v>
      </c>
      <c r="C5" s="56">
        <v>-0.3</v>
      </c>
      <c r="D5" s="56">
        <v>0</v>
      </c>
      <c r="E5" s="57">
        <v>0</v>
      </c>
    </row>
    <row r="6" spans="1:11" x14ac:dyDescent="0.25">
      <c r="A6" s="55">
        <f>C4</f>
        <v>0</v>
      </c>
      <c r="B6" s="58">
        <f>C5</f>
        <v>-0.3</v>
      </c>
      <c r="C6" s="56">
        <v>0.3</v>
      </c>
      <c r="D6" s="56">
        <v>0</v>
      </c>
      <c r="E6" s="57">
        <v>0</v>
      </c>
    </row>
    <row r="7" spans="1:11" x14ac:dyDescent="0.25">
      <c r="A7" s="55">
        <f>D4</f>
        <v>0</v>
      </c>
      <c r="B7" s="58">
        <f>D5</f>
        <v>0</v>
      </c>
      <c r="C7" s="58">
        <f>D6</f>
        <v>0</v>
      </c>
      <c r="D7" s="56">
        <v>0.35</v>
      </c>
      <c r="E7" s="57">
        <v>0</v>
      </c>
    </row>
    <row r="8" spans="1:11" x14ac:dyDescent="0.25">
      <c r="A8" s="59">
        <f>E4</f>
        <v>0</v>
      </c>
      <c r="B8" s="60">
        <f>E5</f>
        <v>0</v>
      </c>
      <c r="C8" s="60">
        <f>E6</f>
        <v>0</v>
      </c>
      <c r="D8" s="60">
        <f>E7</f>
        <v>0</v>
      </c>
      <c r="E8" s="61">
        <v>0.4</v>
      </c>
    </row>
    <row r="10" spans="1:11" x14ac:dyDescent="0.25">
      <c r="A10" s="11" t="s">
        <v>2</v>
      </c>
      <c r="B10">
        <f>SUM(A4,B5,C6,D7,E8)</f>
        <v>1.65</v>
      </c>
    </row>
    <row r="11" spans="1:11" ht="16.5" thickBot="1" x14ac:dyDescent="0.3">
      <c r="A11" s="11"/>
    </row>
    <row r="12" spans="1:11" ht="18.75" x14ac:dyDescent="0.3">
      <c r="A12" s="98" t="s">
        <v>7</v>
      </c>
      <c r="B12" s="99"/>
      <c r="C12" s="99"/>
      <c r="D12" s="99"/>
      <c r="E12" s="99"/>
      <c r="F12" s="99"/>
      <c r="G12" s="99"/>
      <c r="H12" s="99"/>
      <c r="I12" s="99"/>
      <c r="J12" s="99"/>
      <c r="K12" s="100"/>
    </row>
    <row r="13" spans="1:11" x14ac:dyDescent="0.25">
      <c r="A13" s="87" t="s">
        <v>0</v>
      </c>
      <c r="B13" s="88"/>
      <c r="C13" s="88"/>
      <c r="D13" s="88"/>
      <c r="E13" s="88"/>
      <c r="F13" s="1"/>
      <c r="G13" s="89" t="s">
        <v>6</v>
      </c>
      <c r="H13" s="89"/>
      <c r="I13" s="89"/>
      <c r="J13" s="89"/>
      <c r="K13" s="90"/>
    </row>
    <row r="14" spans="1:11" x14ac:dyDescent="0.25">
      <c r="A14" s="36">
        <f t="array" ref="A14:E18">_xll.Virtufin.CreditExposure.DiagonalizedMatrix(A4:E8)</f>
        <v>-3.653678832385767E-2</v>
      </c>
      <c r="B14" s="13">
        <v>0</v>
      </c>
      <c r="C14" s="13">
        <v>0</v>
      </c>
      <c r="D14" s="13">
        <v>0</v>
      </c>
      <c r="E14" s="14">
        <v>0</v>
      </c>
      <c r="F14" s="1"/>
      <c r="G14" s="34">
        <f>G21</f>
        <v>0</v>
      </c>
      <c r="H14" s="26">
        <v>0</v>
      </c>
      <c r="I14" s="26">
        <v>0</v>
      </c>
      <c r="J14" s="26">
        <v>0</v>
      </c>
      <c r="K14" s="37">
        <v>0</v>
      </c>
    </row>
    <row r="15" spans="1:11" x14ac:dyDescent="0.25">
      <c r="A15" s="38">
        <v>0</v>
      </c>
      <c r="B15" s="22">
        <v>0.23362559632125937</v>
      </c>
      <c r="C15" s="16">
        <v>0</v>
      </c>
      <c r="D15" s="16">
        <v>0</v>
      </c>
      <c r="E15" s="17">
        <v>0</v>
      </c>
      <c r="F15" s="1"/>
      <c r="G15" s="27">
        <v>0</v>
      </c>
      <c r="H15" s="35">
        <f>H21</f>
        <v>0.22856437914596836</v>
      </c>
      <c r="I15" s="28">
        <v>0</v>
      </c>
      <c r="J15" s="28">
        <v>0</v>
      </c>
      <c r="K15" s="39">
        <v>0</v>
      </c>
    </row>
    <row r="16" spans="1:11" x14ac:dyDescent="0.25">
      <c r="A16" s="38">
        <v>0</v>
      </c>
      <c r="B16" s="16">
        <v>0</v>
      </c>
      <c r="C16" s="22">
        <v>0.34999999999999992</v>
      </c>
      <c r="D16" s="16">
        <v>0</v>
      </c>
      <c r="E16" s="17">
        <v>0</v>
      </c>
      <c r="F16" s="1"/>
      <c r="G16" s="27">
        <v>0</v>
      </c>
      <c r="H16" s="28">
        <v>0</v>
      </c>
      <c r="I16" s="35">
        <f>I21</f>
        <v>0.34241767152552932</v>
      </c>
      <c r="J16" s="28">
        <v>0</v>
      </c>
      <c r="K16" s="39">
        <v>0</v>
      </c>
    </row>
    <row r="17" spans="1:11" x14ac:dyDescent="0.25">
      <c r="A17" s="38">
        <v>0</v>
      </c>
      <c r="B17" s="16">
        <v>0</v>
      </c>
      <c r="C17" s="16">
        <v>0</v>
      </c>
      <c r="D17" s="22">
        <v>0.4</v>
      </c>
      <c r="E17" s="17">
        <v>0</v>
      </c>
      <c r="F17" s="1"/>
      <c r="G17" s="27">
        <v>0</v>
      </c>
      <c r="H17" s="28">
        <v>0</v>
      </c>
      <c r="I17" s="28">
        <v>0</v>
      </c>
      <c r="J17" s="35">
        <f>J21</f>
        <v>0.39133448174346219</v>
      </c>
      <c r="K17" s="39">
        <v>0</v>
      </c>
    </row>
    <row r="18" spans="1:11" x14ac:dyDescent="0.25">
      <c r="A18" s="40">
        <v>0</v>
      </c>
      <c r="B18" s="19">
        <v>0</v>
      </c>
      <c r="C18" s="19">
        <v>0</v>
      </c>
      <c r="D18" s="19">
        <v>0</v>
      </c>
      <c r="E18" s="23">
        <v>0.70291119200259833</v>
      </c>
      <c r="F18" s="1"/>
      <c r="G18" s="29">
        <v>0</v>
      </c>
      <c r="H18" s="30">
        <v>0</v>
      </c>
      <c r="I18" s="30">
        <v>0</v>
      </c>
      <c r="J18" s="30">
        <v>0</v>
      </c>
      <c r="K18" s="41">
        <f>K21</f>
        <v>0.68768346758504006</v>
      </c>
    </row>
    <row r="19" spans="1:11" x14ac:dyDescent="0.25">
      <c r="A19" s="42"/>
      <c r="B19" s="2"/>
      <c r="C19" s="2"/>
      <c r="D19" s="2"/>
      <c r="E19" s="2"/>
      <c r="F19" s="1"/>
      <c r="G19" s="1"/>
      <c r="H19" s="1"/>
      <c r="I19" s="1"/>
      <c r="J19" s="1"/>
      <c r="K19" s="43"/>
    </row>
    <row r="20" spans="1:11" x14ac:dyDescent="0.25">
      <c r="A20" s="87" t="s">
        <v>4</v>
      </c>
      <c r="B20" s="88"/>
      <c r="C20" s="88"/>
      <c r="D20" s="88"/>
      <c r="E20" s="88"/>
      <c r="F20" s="1"/>
      <c r="G20" s="89" t="s">
        <v>5</v>
      </c>
      <c r="H20" s="89"/>
      <c r="I20" s="89"/>
      <c r="J20" s="89"/>
      <c r="K20" s="90"/>
    </row>
    <row r="21" spans="1:11" x14ac:dyDescent="0.25">
      <c r="A21" s="44">
        <f>A14</f>
        <v>-3.653678832385767E-2</v>
      </c>
      <c r="B21" s="24">
        <f>B15</f>
        <v>0.23362559632125937</v>
      </c>
      <c r="C21" s="24">
        <f>C16</f>
        <v>0.34999999999999992</v>
      </c>
      <c r="D21" s="24">
        <f>D17</f>
        <v>0.4</v>
      </c>
      <c r="E21" s="31">
        <f>E18</f>
        <v>0.70291119200259833</v>
      </c>
      <c r="F21" s="1"/>
      <c r="G21" s="32">
        <f>IF(A21&gt;0,A21*trace/scaling,0)</f>
        <v>0</v>
      </c>
      <c r="H21" s="33">
        <f>IF(B21&gt;0,B21*trace/scaling,0)</f>
        <v>0.22856437914596836</v>
      </c>
      <c r="I21" s="33">
        <f>IF(C21&gt;0,C21*trace/scaling,0)</f>
        <v>0.34241767152552932</v>
      </c>
      <c r="J21" s="33">
        <f>IF(D21&gt;0,D21*trace/scaling,0)</f>
        <v>0.39133448174346219</v>
      </c>
      <c r="K21" s="45">
        <f>IF(E21&gt;0,E21*trace/scaling,0)</f>
        <v>0.68768346758504006</v>
      </c>
    </row>
    <row r="22" spans="1:11" x14ac:dyDescent="0.25">
      <c r="A22" s="38"/>
      <c r="B22" s="16"/>
      <c r="C22" s="2"/>
      <c r="D22" s="2"/>
      <c r="E22" s="2"/>
      <c r="F22" s="1"/>
      <c r="G22" s="1"/>
      <c r="H22" s="1"/>
      <c r="I22" s="1"/>
      <c r="J22" s="1"/>
      <c r="K22" s="43"/>
    </row>
    <row r="23" spans="1:11" x14ac:dyDescent="0.25">
      <c r="A23" s="46" t="s">
        <v>2</v>
      </c>
      <c r="B23" s="16">
        <f>SUM(A21:E21)</f>
        <v>1.65</v>
      </c>
      <c r="C23" s="2"/>
      <c r="D23" s="2"/>
      <c r="E23" s="2"/>
      <c r="F23" s="1"/>
      <c r="G23" s="47" t="s">
        <v>2</v>
      </c>
      <c r="H23" s="16">
        <f>SUM(G21:K21)</f>
        <v>1.65</v>
      </c>
      <c r="I23" s="1"/>
      <c r="J23" s="1"/>
      <c r="K23" s="43"/>
    </row>
    <row r="24" spans="1:11" x14ac:dyDescent="0.25">
      <c r="A24" s="46" t="s">
        <v>3</v>
      </c>
      <c r="B24" s="16">
        <f>SUMIF(A21:E21,"&gt;0")</f>
        <v>1.6865367883238576</v>
      </c>
      <c r="C24" s="2"/>
      <c r="D24" s="2"/>
      <c r="E24" s="2"/>
      <c r="F24" s="1"/>
      <c r="G24" s="1"/>
      <c r="H24" s="1"/>
      <c r="I24" s="1"/>
      <c r="J24" s="1"/>
      <c r="K24" s="43"/>
    </row>
    <row r="25" spans="1:11" ht="16.5" thickBot="1" x14ac:dyDescent="0.3">
      <c r="A25" s="48"/>
      <c r="B25" s="49"/>
      <c r="C25" s="50"/>
      <c r="D25" s="50"/>
      <c r="E25" s="50"/>
      <c r="F25" s="51"/>
      <c r="G25" s="51"/>
      <c r="H25" s="51"/>
      <c r="I25" s="51"/>
      <c r="J25" s="51"/>
      <c r="K25" s="52"/>
    </row>
    <row r="26" spans="1:11" ht="16.5" thickBot="1" x14ac:dyDescent="0.3">
      <c r="A26" s="62"/>
      <c r="B26" s="16"/>
      <c r="C26" s="2"/>
      <c r="D26" s="2"/>
      <c r="E26" s="2"/>
      <c r="F26" s="1"/>
      <c r="G26" s="1"/>
      <c r="H26" s="1"/>
      <c r="I26" s="1"/>
      <c r="J26" s="1"/>
      <c r="K26" s="1"/>
    </row>
    <row r="27" spans="1:11" ht="18.75" x14ac:dyDescent="0.3">
      <c r="A27" s="95" t="s">
        <v>15</v>
      </c>
      <c r="B27" s="96"/>
      <c r="C27" s="96"/>
      <c r="D27" s="96"/>
      <c r="E27" s="96"/>
      <c r="F27" s="96"/>
      <c r="G27" s="96"/>
      <c r="H27" s="96"/>
      <c r="I27" s="96"/>
      <c r="J27" s="96"/>
      <c r="K27" s="97"/>
    </row>
    <row r="28" spans="1:11" x14ac:dyDescent="0.25">
      <c r="A28" s="87" t="s">
        <v>9</v>
      </c>
      <c r="B28" s="88"/>
      <c r="C28" s="88"/>
      <c r="D28" s="88"/>
      <c r="E28" s="88"/>
      <c r="F28" s="1"/>
      <c r="G28" s="91" t="s">
        <v>10</v>
      </c>
      <c r="H28" s="91"/>
      <c r="I28" s="91"/>
      <c r="J28" s="91"/>
      <c r="K28" s="92"/>
    </row>
    <row r="29" spans="1:11" x14ac:dyDescent="0.25">
      <c r="A29" s="69">
        <f t="shared" ref="A29:E33" si="0">SQRT(G14)</f>
        <v>0</v>
      </c>
      <c r="B29" s="13">
        <f t="shared" si="0"/>
        <v>0</v>
      </c>
      <c r="C29" s="13">
        <f t="shared" si="0"/>
        <v>0</v>
      </c>
      <c r="D29" s="13">
        <f t="shared" si="0"/>
        <v>0</v>
      </c>
      <c r="E29" s="14">
        <f t="shared" si="0"/>
        <v>0</v>
      </c>
      <c r="F29" s="1"/>
      <c r="G29" s="12">
        <f t="array" ref="G29:K33">_xll.Virtufin.CreditExposure.EigenVectors(A4:E8)</f>
        <v>-0.53374112496858772</v>
      </c>
      <c r="H29" s="13">
        <v>-0.78915854203691549</v>
      </c>
      <c r="I29" s="13">
        <v>0</v>
      </c>
      <c r="J29" s="13">
        <v>0</v>
      </c>
      <c r="K29" s="70">
        <v>-0.30389012331340504</v>
      </c>
    </row>
    <row r="30" spans="1:11" x14ac:dyDescent="0.25">
      <c r="A30" s="38">
        <f t="shared" si="0"/>
        <v>0</v>
      </c>
      <c r="B30" s="16">
        <f t="shared" si="0"/>
        <v>0.47808407121129687</v>
      </c>
      <c r="C30" s="16">
        <f t="shared" si="0"/>
        <v>0</v>
      </c>
      <c r="D30" s="16">
        <f t="shared" si="0"/>
        <v>0</v>
      </c>
      <c r="E30" s="17">
        <f t="shared" si="0"/>
        <v>0</v>
      </c>
      <c r="F30" s="1"/>
      <c r="G30" s="15">
        <v>0.63124705748216248</v>
      </c>
      <c r="H30" s="16">
        <v>-0.13267963284003462</v>
      </c>
      <c r="I30" s="16">
        <v>0</v>
      </c>
      <c r="J30" s="16">
        <v>0</v>
      </c>
      <c r="K30" s="71">
        <v>-0.76414872076680551</v>
      </c>
    </row>
    <row r="31" spans="1:11" x14ac:dyDescent="0.25">
      <c r="A31" s="38">
        <f t="shared" si="0"/>
        <v>0</v>
      </c>
      <c r="B31" s="16">
        <f t="shared" si="0"/>
        <v>0</v>
      </c>
      <c r="C31" s="16">
        <f t="shared" si="0"/>
        <v>0.58516465334598711</v>
      </c>
      <c r="D31" s="16">
        <f t="shared" si="0"/>
        <v>0</v>
      </c>
      <c r="E31" s="17">
        <f t="shared" si="0"/>
        <v>0</v>
      </c>
      <c r="F31" s="1"/>
      <c r="G31" s="15">
        <v>0.56271446039477069</v>
      </c>
      <c r="H31" s="16">
        <v>-0.59968734400486023</v>
      </c>
      <c r="I31" s="16">
        <v>0</v>
      </c>
      <c r="J31" s="16">
        <v>0</v>
      </c>
      <c r="K31" s="71">
        <v>0.56897058404017542</v>
      </c>
    </row>
    <row r="32" spans="1:11" x14ac:dyDescent="0.25">
      <c r="A32" s="38">
        <f t="shared" si="0"/>
        <v>0</v>
      </c>
      <c r="B32" s="16">
        <f t="shared" si="0"/>
        <v>0</v>
      </c>
      <c r="C32" s="16">
        <f t="shared" si="0"/>
        <v>0</v>
      </c>
      <c r="D32" s="16">
        <f t="shared" si="0"/>
        <v>0.62556732790600744</v>
      </c>
      <c r="E32" s="17">
        <f t="shared" si="0"/>
        <v>0</v>
      </c>
      <c r="F32" s="1"/>
      <c r="G32" s="15">
        <v>0</v>
      </c>
      <c r="H32" s="16">
        <v>0</v>
      </c>
      <c r="I32" s="16">
        <v>1</v>
      </c>
      <c r="J32" s="16">
        <v>0</v>
      </c>
      <c r="K32" s="71">
        <v>0</v>
      </c>
    </row>
    <row r="33" spans="1:11" x14ac:dyDescent="0.25">
      <c r="A33" s="40">
        <f t="shared" si="0"/>
        <v>0</v>
      </c>
      <c r="B33" s="19">
        <f t="shared" si="0"/>
        <v>0</v>
      </c>
      <c r="C33" s="19">
        <f t="shared" si="0"/>
        <v>0</v>
      </c>
      <c r="D33" s="19">
        <f t="shared" si="0"/>
        <v>0</v>
      </c>
      <c r="E33" s="20">
        <f t="shared" si="0"/>
        <v>0.82926682532526286</v>
      </c>
      <c r="F33" s="1"/>
      <c r="G33" s="18">
        <v>0</v>
      </c>
      <c r="H33" s="19">
        <v>0</v>
      </c>
      <c r="I33" s="19">
        <v>0</v>
      </c>
      <c r="J33" s="19">
        <v>1</v>
      </c>
      <c r="K33" s="73">
        <v>0</v>
      </c>
    </row>
    <row r="34" spans="1:11" ht="16.5" customHeight="1" x14ac:dyDescent="0.25">
      <c r="A34" s="72"/>
      <c r="B34" s="1"/>
      <c r="C34" s="1"/>
      <c r="D34" s="1"/>
      <c r="E34" s="1"/>
      <c r="F34" s="1"/>
      <c r="G34" s="1"/>
      <c r="H34" s="1"/>
      <c r="I34" s="1"/>
      <c r="J34" s="1"/>
      <c r="K34" s="43"/>
    </row>
    <row r="35" spans="1:11" ht="15" customHeight="1" x14ac:dyDescent="0.25">
      <c r="A35" s="93" t="s">
        <v>8</v>
      </c>
      <c r="B35" s="86"/>
      <c r="C35" s="86"/>
      <c r="D35" s="86"/>
      <c r="E35" s="86"/>
      <c r="F35" s="1"/>
      <c r="G35" s="88" t="s">
        <v>12</v>
      </c>
      <c r="H35" s="88"/>
      <c r="I35" s="88"/>
      <c r="J35" s="88"/>
      <c r="K35" s="94"/>
    </row>
    <row r="36" spans="1:11" ht="15" customHeight="1" x14ac:dyDescent="0.25">
      <c r="A36" s="69">
        <f t="array" ref="A36:E40">_xll.Virtufin.CreditExposure.MatrixTranspose(G29:K33)</f>
        <v>-0.53374112496858772</v>
      </c>
      <c r="B36" s="13">
        <v>0.63124705748216248</v>
      </c>
      <c r="C36" s="13">
        <v>0.56271446039477069</v>
      </c>
      <c r="D36" s="13">
        <v>0</v>
      </c>
      <c r="E36" s="14">
        <v>0</v>
      </c>
      <c r="F36" s="1"/>
      <c r="G36" s="25">
        <f t="array" ref="G36:K40">_xll.Virtufin.CreditExposure.Multiply(G29:K33,A29:E33)</f>
        <v>0</v>
      </c>
      <c r="H36" s="26">
        <v>-0.37728412860817989</v>
      </c>
      <c r="I36" s="26">
        <v>0</v>
      </c>
      <c r="J36" s="26">
        <v>0</v>
      </c>
      <c r="K36" s="74">
        <v>-0.25200599780781002</v>
      </c>
    </row>
    <row r="37" spans="1:11" ht="15" customHeight="1" x14ac:dyDescent="0.25">
      <c r="A37" s="38">
        <v>-0.78915854203691549</v>
      </c>
      <c r="B37" s="16">
        <v>-0.13267963284003462</v>
      </c>
      <c r="C37" s="16">
        <v>-0.59968734400486023</v>
      </c>
      <c r="D37" s="16">
        <v>0</v>
      </c>
      <c r="E37" s="17">
        <v>0</v>
      </c>
      <c r="F37" s="1"/>
      <c r="G37" s="15">
        <v>0</v>
      </c>
      <c r="H37" s="16">
        <v>-6.3432019034983828E-2</v>
      </c>
      <c r="I37" s="16">
        <v>0</v>
      </c>
      <c r="J37" s="16">
        <v>0</v>
      </c>
      <c r="K37" s="71">
        <v>-0.63368318374664956</v>
      </c>
    </row>
    <row r="38" spans="1:11" ht="15" customHeight="1" x14ac:dyDescent="0.25">
      <c r="A38" s="38">
        <v>0</v>
      </c>
      <c r="B38" s="16">
        <v>0</v>
      </c>
      <c r="C38" s="16">
        <v>0</v>
      </c>
      <c r="D38" s="16">
        <v>1</v>
      </c>
      <c r="E38" s="17">
        <v>0</v>
      </c>
      <c r="F38" s="1"/>
      <c r="G38" s="15">
        <v>0</v>
      </c>
      <c r="H38" s="16">
        <v>-0.2867009668757331</v>
      </c>
      <c r="I38" s="16">
        <v>0</v>
      </c>
      <c r="J38" s="16">
        <v>0</v>
      </c>
      <c r="K38" s="71">
        <v>0.47182842993045693</v>
      </c>
    </row>
    <row r="39" spans="1:11" ht="15" customHeight="1" x14ac:dyDescent="0.25">
      <c r="A39" s="38">
        <v>0</v>
      </c>
      <c r="B39" s="16">
        <v>0</v>
      </c>
      <c r="C39" s="16">
        <v>0</v>
      </c>
      <c r="D39" s="16">
        <v>0</v>
      </c>
      <c r="E39" s="17">
        <v>1</v>
      </c>
      <c r="F39" s="1"/>
      <c r="G39" s="15">
        <v>0</v>
      </c>
      <c r="H39" s="16">
        <v>0</v>
      </c>
      <c r="I39" s="16">
        <v>0.58516465334598711</v>
      </c>
      <c r="J39" s="16">
        <v>0</v>
      </c>
      <c r="K39" s="71">
        <v>0</v>
      </c>
    </row>
    <row r="40" spans="1:11" x14ac:dyDescent="0.25">
      <c r="A40" s="40">
        <v>-0.30389012331340504</v>
      </c>
      <c r="B40" s="19">
        <v>-0.76414872076680551</v>
      </c>
      <c r="C40" s="19">
        <v>0.56897058404017542</v>
      </c>
      <c r="D40" s="19">
        <v>0</v>
      </c>
      <c r="E40" s="20">
        <v>0</v>
      </c>
      <c r="F40" s="1"/>
      <c r="G40" s="18">
        <v>0</v>
      </c>
      <c r="H40" s="19">
        <v>0</v>
      </c>
      <c r="I40" s="19">
        <v>0</v>
      </c>
      <c r="J40" s="19">
        <v>0.62556732790600744</v>
      </c>
      <c r="K40" s="73">
        <v>0</v>
      </c>
    </row>
    <row r="41" spans="1:11" x14ac:dyDescent="0.25">
      <c r="A41" s="38"/>
      <c r="B41" s="16"/>
      <c r="C41" s="16"/>
      <c r="D41" s="16"/>
      <c r="E41" s="16"/>
      <c r="F41" s="1"/>
      <c r="G41" s="1"/>
      <c r="H41" s="1"/>
      <c r="I41" s="1"/>
      <c r="J41" s="1"/>
      <c r="K41" s="43"/>
    </row>
    <row r="42" spans="1:11" x14ac:dyDescent="0.25">
      <c r="A42" s="87" t="s">
        <v>14</v>
      </c>
      <c r="B42" s="88"/>
      <c r="C42" s="88"/>
      <c r="D42" s="88"/>
      <c r="E42" s="88"/>
      <c r="F42" s="1"/>
      <c r="G42" s="88" t="s">
        <v>13</v>
      </c>
      <c r="H42" s="88"/>
      <c r="I42" s="88"/>
      <c r="J42" s="88"/>
      <c r="K42" s="94"/>
    </row>
    <row r="43" spans="1:11" x14ac:dyDescent="0.25">
      <c r="A43" s="75">
        <f t="array" ref="A43:E47">_xll.Virtufin.CreditExposure.Multiply(G36:K40,G29:K33)</f>
        <v>-0.23815949601863531</v>
      </c>
      <c r="B43" s="63">
        <v>5.0057919660105706E-2</v>
      </c>
      <c r="C43" s="63">
        <v>0</v>
      </c>
      <c r="D43" s="63">
        <v>-0.25200599780781002</v>
      </c>
      <c r="E43" s="63">
        <v>0.28830118424155959</v>
      </c>
      <c r="F43" s="1"/>
      <c r="G43" s="12">
        <f t="array" ref="G43:K47">_xll.Virtufin.CreditExposure.MatrixTranspose(A43:E47)</f>
        <v>-0.23815949601863531</v>
      </c>
      <c r="H43" s="13">
        <v>-4.0041275365986062E-2</v>
      </c>
      <c r="I43" s="13">
        <v>-0.18097914171759746</v>
      </c>
      <c r="J43" s="13">
        <v>0.32928061214968019</v>
      </c>
      <c r="K43" s="70">
        <v>0</v>
      </c>
    </row>
    <row r="44" spans="1:11" x14ac:dyDescent="0.25">
      <c r="A44" s="76">
        <v>-4.0041275365986062E-2</v>
      </c>
      <c r="B44" s="65">
        <v>8.4161369958637416E-3</v>
      </c>
      <c r="C44" s="65">
        <v>0</v>
      </c>
      <c r="D44" s="65">
        <v>-0.63368318374664956</v>
      </c>
      <c r="E44" s="65">
        <v>4.8471496201238549E-2</v>
      </c>
      <c r="F44" s="1"/>
      <c r="G44" s="15">
        <v>5.0057919660105706E-2</v>
      </c>
      <c r="H44" s="16">
        <v>8.4161369958637416E-3</v>
      </c>
      <c r="I44" s="16">
        <v>3.8039379019955195E-2</v>
      </c>
      <c r="J44" s="16">
        <v>-0.35091583677057975</v>
      </c>
      <c r="K44" s="71">
        <v>0</v>
      </c>
    </row>
    <row r="45" spans="1:11" x14ac:dyDescent="0.25">
      <c r="A45" s="76">
        <v>-0.18097914171759746</v>
      </c>
      <c r="B45" s="65">
        <v>3.8039379019955195E-2</v>
      </c>
      <c r="C45" s="65">
        <v>0</v>
      </c>
      <c r="D45" s="65">
        <v>0.47182842993045693</v>
      </c>
      <c r="E45" s="65">
        <v>0.21908217708069772</v>
      </c>
      <c r="F45" s="1"/>
      <c r="G45" s="15">
        <v>0</v>
      </c>
      <c r="H45" s="16">
        <v>0</v>
      </c>
      <c r="I45" s="16">
        <v>0</v>
      </c>
      <c r="J45" s="16">
        <v>0</v>
      </c>
      <c r="K45" s="71">
        <v>0.62556732790600744</v>
      </c>
    </row>
    <row r="46" spans="1:11" x14ac:dyDescent="0.25">
      <c r="A46" s="76">
        <v>0.32928061214968019</v>
      </c>
      <c r="B46" s="65">
        <v>-0.35091583677057975</v>
      </c>
      <c r="C46" s="65">
        <v>0</v>
      </c>
      <c r="D46" s="65">
        <v>0</v>
      </c>
      <c r="E46" s="65">
        <v>0.33294147457393308</v>
      </c>
      <c r="F46" s="1"/>
      <c r="G46" s="15">
        <v>-0.25200599780781002</v>
      </c>
      <c r="H46" s="16">
        <v>-0.63368318374664956</v>
      </c>
      <c r="I46" s="16">
        <v>0.47182842993045693</v>
      </c>
      <c r="J46" s="16">
        <v>0</v>
      </c>
      <c r="K46" s="71">
        <v>0</v>
      </c>
    </row>
    <row r="47" spans="1:11" x14ac:dyDescent="0.25">
      <c r="A47" s="77">
        <v>0</v>
      </c>
      <c r="B47" s="67">
        <v>0</v>
      </c>
      <c r="C47" s="67">
        <v>0.62556732790600744</v>
      </c>
      <c r="D47" s="67">
        <v>0</v>
      </c>
      <c r="E47" s="67">
        <v>0</v>
      </c>
      <c r="F47" s="1"/>
      <c r="G47" s="18">
        <v>0.28830118424155959</v>
      </c>
      <c r="H47" s="19">
        <v>4.8471496201238549E-2</v>
      </c>
      <c r="I47" s="19">
        <v>0.21908217708069772</v>
      </c>
      <c r="J47" s="19">
        <v>0.33294147457393308</v>
      </c>
      <c r="K47" s="73">
        <v>0</v>
      </c>
    </row>
    <row r="48" spans="1:11" ht="16.5" thickBot="1" x14ac:dyDescent="0.3">
      <c r="A48" s="78"/>
      <c r="B48" s="51"/>
      <c r="C48" s="51"/>
      <c r="D48" s="51"/>
      <c r="E48" s="51"/>
      <c r="F48" s="51"/>
      <c r="G48" s="51"/>
      <c r="H48" s="51"/>
      <c r="I48" s="51"/>
      <c r="J48" s="51"/>
      <c r="K48" s="52"/>
    </row>
    <row r="49" spans="1:11" ht="16.5" thickBot="1" x14ac:dyDescent="0.3"/>
    <row r="50" spans="1:11" ht="18.75" x14ac:dyDescent="0.3">
      <c r="A50" s="98" t="s">
        <v>16</v>
      </c>
      <c r="B50" s="99"/>
      <c r="C50" s="99"/>
      <c r="D50" s="99"/>
      <c r="E50" s="99"/>
      <c r="F50" s="99"/>
      <c r="G50" s="99"/>
      <c r="H50" s="99"/>
      <c r="I50" s="99"/>
      <c r="J50" s="99"/>
      <c r="K50" s="100"/>
    </row>
    <row r="51" spans="1:11" x14ac:dyDescent="0.25">
      <c r="A51" s="87" t="s">
        <v>17</v>
      </c>
      <c r="B51" s="88"/>
      <c r="C51" s="88"/>
      <c r="D51" s="88"/>
      <c r="E51" s="88"/>
      <c r="F51" s="1"/>
      <c r="G51" s="88" t="s">
        <v>18</v>
      </c>
      <c r="H51" s="88"/>
      <c r="I51" s="88"/>
      <c r="J51" s="88"/>
      <c r="K51" s="94"/>
    </row>
    <row r="52" spans="1:11" x14ac:dyDescent="0.25">
      <c r="A52" s="75">
        <f t="array" ref="A52:E56">_xll.Virtufin.CreditExposure.Multiply(A43:E47,G43:K47)</f>
        <v>0.20585033663074362</v>
      </c>
      <c r="B52" s="63">
        <v>0.18362385704157561</v>
      </c>
      <c r="C52" s="63">
        <v>-1.0735869819883538E-2</v>
      </c>
      <c r="D52" s="63">
        <v>2.439454888092385E-18</v>
      </c>
      <c r="E52" s="64">
        <v>0</v>
      </c>
      <c r="F52" s="1"/>
      <c r="G52" s="79">
        <f t="shared" ref="G52:K56" si="1">A4</f>
        <v>0.2</v>
      </c>
      <c r="H52" s="80">
        <f t="shared" si="1"/>
        <v>0.2</v>
      </c>
      <c r="I52" s="80">
        <f t="shared" si="1"/>
        <v>0</v>
      </c>
      <c r="J52" s="80">
        <f t="shared" si="1"/>
        <v>0</v>
      </c>
      <c r="K52" s="81">
        <f t="shared" si="1"/>
        <v>0</v>
      </c>
    </row>
    <row r="53" spans="1:11" x14ac:dyDescent="0.25">
      <c r="A53" s="76">
        <v>0.18362385704157561</v>
      </c>
      <c r="B53" s="65">
        <v>0.40557799840214459</v>
      </c>
      <c r="C53" s="65">
        <v>-0.28080372047230512</v>
      </c>
      <c r="D53" s="65">
        <v>3.7947076036992655E-19</v>
      </c>
      <c r="E53" s="66">
        <v>0</v>
      </c>
      <c r="F53" s="1"/>
      <c r="G53" s="55">
        <f t="shared" si="1"/>
        <v>0.2</v>
      </c>
      <c r="H53" s="58">
        <f t="shared" si="1"/>
        <v>0.4</v>
      </c>
      <c r="I53" s="58">
        <f t="shared" si="1"/>
        <v>-0.3</v>
      </c>
      <c r="J53" s="58">
        <f t="shared" si="1"/>
        <v>0</v>
      </c>
      <c r="K53" s="82">
        <f t="shared" si="1"/>
        <v>0</v>
      </c>
    </row>
    <row r="54" spans="1:11" x14ac:dyDescent="0.25">
      <c r="A54" s="76">
        <v>-1.0735869819883538E-2</v>
      </c>
      <c r="B54" s="65">
        <v>-0.28080372047230512</v>
      </c>
      <c r="C54" s="65">
        <v>0.30481951169812033</v>
      </c>
      <c r="D54" s="65">
        <v>-5.6242987697685543E-19</v>
      </c>
      <c r="E54" s="66">
        <v>0</v>
      </c>
      <c r="F54" s="1"/>
      <c r="G54" s="55">
        <f t="shared" si="1"/>
        <v>0</v>
      </c>
      <c r="H54" s="58">
        <f t="shared" si="1"/>
        <v>-0.3</v>
      </c>
      <c r="I54" s="58">
        <f t="shared" si="1"/>
        <v>0.3</v>
      </c>
      <c r="J54" s="58">
        <f t="shared" si="1"/>
        <v>0</v>
      </c>
      <c r="K54" s="82">
        <f t="shared" si="1"/>
        <v>0</v>
      </c>
    </row>
    <row r="55" spans="1:11" x14ac:dyDescent="0.25">
      <c r="A55" s="76">
        <v>2.439454888092385E-18</v>
      </c>
      <c r="B55" s="65">
        <v>3.7947076036992655E-19</v>
      </c>
      <c r="C55" s="65">
        <v>-5.6242987697685543E-19</v>
      </c>
      <c r="D55" s="65">
        <v>0.34241767152552921</v>
      </c>
      <c r="E55" s="66">
        <v>0</v>
      </c>
      <c r="F55" s="1"/>
      <c r="G55" s="55">
        <f t="shared" si="1"/>
        <v>0</v>
      </c>
      <c r="H55" s="58">
        <f t="shared" si="1"/>
        <v>0</v>
      </c>
      <c r="I55" s="58">
        <f t="shared" si="1"/>
        <v>0</v>
      </c>
      <c r="J55" s="58">
        <f t="shared" si="1"/>
        <v>0.35</v>
      </c>
      <c r="K55" s="82">
        <f t="shared" si="1"/>
        <v>0</v>
      </c>
    </row>
    <row r="56" spans="1:11" x14ac:dyDescent="0.25">
      <c r="A56" s="77">
        <v>0</v>
      </c>
      <c r="B56" s="67">
        <v>0</v>
      </c>
      <c r="C56" s="67">
        <v>0</v>
      </c>
      <c r="D56" s="67">
        <v>0</v>
      </c>
      <c r="E56" s="68">
        <v>0.39133448174346225</v>
      </c>
      <c r="F56" s="1"/>
      <c r="G56" s="59">
        <f t="shared" si="1"/>
        <v>0</v>
      </c>
      <c r="H56" s="60">
        <f t="shared" si="1"/>
        <v>0</v>
      </c>
      <c r="I56" s="60">
        <f t="shared" si="1"/>
        <v>0</v>
      </c>
      <c r="J56" s="60">
        <f t="shared" si="1"/>
        <v>0</v>
      </c>
      <c r="K56" s="83">
        <f t="shared" si="1"/>
        <v>0.4</v>
      </c>
    </row>
    <row r="57" spans="1:11" ht="16.5" thickBot="1" x14ac:dyDescent="0.3">
      <c r="A57" s="78"/>
      <c r="B57" s="51"/>
      <c r="C57" s="51"/>
      <c r="D57" s="51"/>
      <c r="E57" s="51"/>
      <c r="F57" s="51"/>
      <c r="G57" s="51"/>
      <c r="H57" s="51"/>
      <c r="I57" s="51"/>
      <c r="J57" s="51"/>
      <c r="K57" s="52"/>
    </row>
    <row r="58" spans="1:1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</row>
    <row r="59" spans="1:11" x14ac:dyDescent="0.25">
      <c r="A59" s="86" t="s">
        <v>1</v>
      </c>
      <c r="B59" s="86"/>
      <c r="C59" s="86"/>
      <c r="D59" s="86"/>
      <c r="E59" s="86"/>
    </row>
    <row r="60" spans="1:11" x14ac:dyDescent="0.25">
      <c r="A60" s="3">
        <f ca="1">COVAR('Correlated Normal Rand '!A:A,'Correlated Normal Rand '!$A:$A)</f>
        <v>0.20506626078400203</v>
      </c>
      <c r="B60" s="4">
        <f ca="1">COVAR('Correlated Normal Rand '!$A:$A,'Correlated Normal Rand '!B:B)</f>
        <v>0.1993147640402898</v>
      </c>
      <c r="C60" s="4">
        <f ca="1">COVAR('Correlated Normal Rand '!$A:$A,'Correlated Normal Rand '!C:C)</f>
        <v>-2.9081466251549375E-2</v>
      </c>
      <c r="D60" s="4">
        <f ca="1">COVAR('Correlated Normal Rand '!$A:$A,'Correlated Normal Rand '!D:D)</f>
        <v>2.083028360705548E-4</v>
      </c>
      <c r="E60" s="5">
        <f ca="1">COVAR('Correlated Normal Rand '!$A:$A,'Correlated Normal Rand '!E:E)</f>
        <v>1.7827551605555728E-2</v>
      </c>
    </row>
    <row r="61" spans="1:11" x14ac:dyDescent="0.25">
      <c r="A61" s="6"/>
      <c r="B61" s="1">
        <f ca="1">COVAR('Correlated Normal Rand '!$B:$B,'Correlated Normal Rand '!B:B)</f>
        <v>0.44508682682884704</v>
      </c>
      <c r="C61" s="1">
        <f ca="1">COVAR('Correlated Normal Rand '!$B:$B,'Correlated Normal Rand '!C:C)</f>
        <v>-0.31024129583518306</v>
      </c>
      <c r="D61" s="1">
        <f ca="1">COVAR('Correlated Normal Rand '!$B:$B,'Correlated Normal Rand '!D:D)</f>
        <v>1.269771907355788E-2</v>
      </c>
      <c r="E61" s="7">
        <f ca="1">COVAR('Correlated Normal Rand '!$B:$B,'Correlated Normal Rand '!E:E)</f>
        <v>3.3695979735988715E-2</v>
      </c>
    </row>
    <row r="62" spans="1:11" x14ac:dyDescent="0.25">
      <c r="A62" s="6"/>
      <c r="B62" s="1"/>
      <c r="C62" s="1">
        <f ca="1">COVAR('Correlated Normal Rand '!$C:$C,'Correlated Normal Rand '!C:C)</f>
        <v>0.32044125979288585</v>
      </c>
      <c r="D62" s="1">
        <f ca="1">COVAR('Correlated Normal Rand '!$C:$C,'Correlated Normal Rand '!D:D)</f>
        <v>-1.4046587689100611E-2</v>
      </c>
      <c r="E62" s="7">
        <f ca="1">COVAR('Correlated Normal Rand '!$C:$C,'Correlated Normal Rand '!E:E)</f>
        <v>-2.0890151995898179E-2</v>
      </c>
    </row>
    <row r="63" spans="1:11" x14ac:dyDescent="0.25">
      <c r="A63" s="6"/>
      <c r="B63" s="1"/>
      <c r="C63" s="1"/>
      <c r="D63" s="1">
        <f ca="1">COVAR('Correlated Normal Rand '!$D:$D,'Correlated Normal Rand '!D:D)</f>
        <v>0.32720112858106343</v>
      </c>
      <c r="E63" s="7">
        <f ca="1">COVAR('Correlated Normal Rand '!$D:$D,'Correlated Normal Rand '!E:E)</f>
        <v>-2.8953649233021662E-2</v>
      </c>
    </row>
    <row r="64" spans="1:11" x14ac:dyDescent="0.25">
      <c r="A64" s="8"/>
      <c r="B64" s="9"/>
      <c r="C64" s="9"/>
      <c r="D64" s="9"/>
      <c r="E64" s="10">
        <f ca="1">COVAR('Correlated Normal Rand '!$E:$E,'Correlated Normal Rand '!E:E)</f>
        <v>0.39719039981354404</v>
      </c>
    </row>
  </sheetData>
  <mergeCells count="18">
    <mergeCell ref="G20:K20"/>
    <mergeCell ref="A12:K12"/>
    <mergeCell ref="A1:K1"/>
    <mergeCell ref="A59:E59"/>
    <mergeCell ref="A13:E13"/>
    <mergeCell ref="A20:E20"/>
    <mergeCell ref="G13:K13"/>
    <mergeCell ref="G28:K28"/>
    <mergeCell ref="A35:E35"/>
    <mergeCell ref="A28:E28"/>
    <mergeCell ref="G35:K35"/>
    <mergeCell ref="A42:E42"/>
    <mergeCell ref="G42:K42"/>
    <mergeCell ref="A27:K27"/>
    <mergeCell ref="A51:E51"/>
    <mergeCell ref="G51:K51"/>
    <mergeCell ref="A50:K50"/>
    <mergeCell ref="A3:E3"/>
  </mergeCells>
  <phoneticPr fontId="1" type="noConversion"/>
  <pageMargins left="0.75000000000000011" right="0.75000000000000011" top="1" bottom="1" header="0.5" footer="0.5"/>
  <pageSetup paperSize="9" orientation="portrait" horizontalDpi="4294967292" verticalDpi="4294967292" r:id="rId1"/>
  <headerFooter>
    <oddHeader>&amp;C&amp;"-,Bold"&amp;18"Square Root" of Symmetric Matrix</oddHeader>
    <oddFooter>&amp;L&amp;"Calibri,Regular"&amp;K000000Page &amp;P of &amp;N&amp;R&amp;"Lucida Sans,Regular"&amp;14&amp;K000000 Copyright © 2012 Virtufin Ltd&amp;"Lucida Grande,Regular".&amp;12 &amp;G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00"/>
  <sheetViews>
    <sheetView topLeftCell="A165" workbookViewId="0">
      <selection activeCell="E200" sqref="E200"/>
    </sheetView>
  </sheetViews>
  <sheetFormatPr defaultRowHeight="15.75" x14ac:dyDescent="0.25"/>
  <sheetData>
    <row r="1" spans="1:5" x14ac:dyDescent="0.25">
      <c r="A1">
        <f ca="1">NORMINV(RAND(),0,1)</f>
        <v>-1.1235751632875146</v>
      </c>
      <c r="B1">
        <f ca="1">NORMINV(RAND(),0,1)</f>
        <v>-2.7119401662777722</v>
      </c>
      <c r="C1">
        <f ca="1">NORMINV(RAND(),0,1)</f>
        <v>0.20765606331251205</v>
      </c>
      <c r="D1">
        <f ca="1">NORMINV(RAND(),0,1)</f>
        <v>-1.5058330896243821</v>
      </c>
      <c r="E1">
        <f ca="1">NORMINV(RAND(),0,1)</f>
        <v>7.6876678092540815E-4</v>
      </c>
    </row>
    <row r="2" spans="1:5" x14ac:dyDescent="0.25">
      <c r="A2">
        <f t="shared" ref="A2:E33" ca="1" si="0">NORMINV(RAND(),0,1)</f>
        <v>0.35233745933796512</v>
      </c>
      <c r="B2">
        <f t="shared" ca="1" si="0"/>
        <v>1.2140581364201011</v>
      </c>
      <c r="C2">
        <f t="shared" ca="1" si="0"/>
        <v>1.9331854942090387</v>
      </c>
      <c r="D2">
        <f t="shared" ca="1" si="0"/>
        <v>-0.52751179440057394</v>
      </c>
      <c r="E2">
        <f t="shared" ca="1" si="0"/>
        <v>-0.26593198633179105</v>
      </c>
    </row>
    <row r="3" spans="1:5" x14ac:dyDescent="0.25">
      <c r="A3">
        <f t="shared" ca="1" si="0"/>
        <v>1.4010715306098287</v>
      </c>
      <c r="B3">
        <f t="shared" ca="1" si="0"/>
        <v>1.065096568411543</v>
      </c>
      <c r="C3">
        <f t="shared" ca="1" si="0"/>
        <v>0.36070364670615829</v>
      </c>
      <c r="D3">
        <f t="shared" ca="1" si="0"/>
        <v>1.1117981074845622</v>
      </c>
      <c r="E3">
        <f t="shared" ca="1" si="0"/>
        <v>2.1912123849113081E-2</v>
      </c>
    </row>
    <row r="4" spans="1:5" x14ac:dyDescent="0.25">
      <c r="A4">
        <f t="shared" ca="1" si="0"/>
        <v>-0.87402857322623129</v>
      </c>
      <c r="B4">
        <f t="shared" ca="1" si="0"/>
        <v>0.48004894405559428</v>
      </c>
      <c r="C4">
        <f t="shared" ca="1" si="0"/>
        <v>0.84436116137252926</v>
      </c>
      <c r="D4">
        <f t="shared" ca="1" si="0"/>
        <v>-0.53204222220146635</v>
      </c>
      <c r="E4">
        <f t="shared" ca="1" si="0"/>
        <v>-0.57003064315754126</v>
      </c>
    </row>
    <row r="5" spans="1:5" x14ac:dyDescent="0.25">
      <c r="A5">
        <f t="shared" ca="1" si="0"/>
        <v>1.0319887333497302</v>
      </c>
      <c r="B5">
        <f t="shared" ca="1" si="0"/>
        <v>-0.20435922536704521</v>
      </c>
      <c r="C5">
        <f t="shared" ca="1" si="0"/>
        <v>1.6448740659524013</v>
      </c>
      <c r="D5">
        <f t="shared" ca="1" si="0"/>
        <v>-0.90588536803830477</v>
      </c>
      <c r="E5">
        <f t="shared" ca="1" si="0"/>
        <v>-0.36165641263469028</v>
      </c>
    </row>
    <row r="6" spans="1:5" x14ac:dyDescent="0.25">
      <c r="A6">
        <f t="shared" ca="1" si="0"/>
        <v>0.15315284832779558</v>
      </c>
      <c r="B6">
        <f t="shared" ca="1" si="0"/>
        <v>4.6506254808190782E-2</v>
      </c>
      <c r="C6">
        <f t="shared" ca="1" si="0"/>
        <v>1.1659838160770295</v>
      </c>
      <c r="D6">
        <f t="shared" ca="1" si="0"/>
        <v>-1.7309764366599738</v>
      </c>
      <c r="E6">
        <f t="shared" ca="1" si="0"/>
        <v>0.10958590271002892</v>
      </c>
    </row>
    <row r="7" spans="1:5" x14ac:dyDescent="0.25">
      <c r="A7">
        <f t="shared" ca="1" si="0"/>
        <v>0.4682397724849045</v>
      </c>
      <c r="B7">
        <f t="shared" ca="1" si="0"/>
        <v>-0.15398253764088932</v>
      </c>
      <c r="C7">
        <f t="shared" ca="1" si="0"/>
        <v>1.3774177325716161</v>
      </c>
      <c r="D7">
        <f t="shared" ca="1" si="0"/>
        <v>-0.84449550923675609</v>
      </c>
      <c r="E7">
        <f t="shared" ca="1" si="0"/>
        <v>1.5745368590539255</v>
      </c>
    </row>
    <row r="8" spans="1:5" x14ac:dyDescent="0.25">
      <c r="A8">
        <f t="shared" ca="1" si="0"/>
        <v>-0.91592114631448684</v>
      </c>
      <c r="B8">
        <f t="shared" ca="1" si="0"/>
        <v>0.27687690360046197</v>
      </c>
      <c r="C8">
        <f t="shared" ca="1" si="0"/>
        <v>-8.8670587662753125E-2</v>
      </c>
      <c r="D8">
        <f t="shared" ca="1" si="0"/>
        <v>1.9189781928689111</v>
      </c>
      <c r="E8">
        <f t="shared" ca="1" si="0"/>
        <v>5.3006437824790711E-2</v>
      </c>
    </row>
    <row r="9" spans="1:5" x14ac:dyDescent="0.25">
      <c r="A9">
        <f t="shared" ca="1" si="0"/>
        <v>0.92847355837708057</v>
      </c>
      <c r="B9">
        <f t="shared" ca="1" si="0"/>
        <v>1.2930713467467725</v>
      </c>
      <c r="C9">
        <f t="shared" ca="1" si="0"/>
        <v>3.8704448854231299E-2</v>
      </c>
      <c r="D9">
        <f t="shared" ca="1" si="0"/>
        <v>0.54446955591080937</v>
      </c>
      <c r="E9">
        <f t="shared" ca="1" si="0"/>
        <v>-0.48163534838333505</v>
      </c>
    </row>
    <row r="10" spans="1:5" x14ac:dyDescent="0.25">
      <c r="A10">
        <f t="shared" ca="1" si="0"/>
        <v>-1.0545480927852942</v>
      </c>
      <c r="B10">
        <f t="shared" ca="1" si="0"/>
        <v>0.56811549677500439</v>
      </c>
      <c r="C10">
        <f t="shared" ca="1" si="0"/>
        <v>0.93140269147987542</v>
      </c>
      <c r="D10">
        <f t="shared" ca="1" si="0"/>
        <v>0.41808365677273662</v>
      </c>
      <c r="E10">
        <f t="shared" ca="1" si="0"/>
        <v>-0.39761102533823128</v>
      </c>
    </row>
    <row r="11" spans="1:5" x14ac:dyDescent="0.25">
      <c r="A11">
        <f t="shared" ca="1" si="0"/>
        <v>0.81338743911093092</v>
      </c>
      <c r="B11">
        <f t="shared" ca="1" si="0"/>
        <v>-0.60529664370016556</v>
      </c>
      <c r="C11">
        <f t="shared" ca="1" si="0"/>
        <v>0.71929490265438478</v>
      </c>
      <c r="D11">
        <f t="shared" ca="1" si="0"/>
        <v>0.45993498273893091</v>
      </c>
      <c r="E11">
        <f t="shared" ca="1" si="0"/>
        <v>-2.5146672405264638</v>
      </c>
    </row>
    <row r="12" spans="1:5" x14ac:dyDescent="0.25">
      <c r="A12">
        <f t="shared" ca="1" si="0"/>
        <v>1.7526235477232321</v>
      </c>
      <c r="B12">
        <f t="shared" ca="1" si="0"/>
        <v>0.21805014877736625</v>
      </c>
      <c r="C12">
        <f t="shared" ca="1" si="0"/>
        <v>0.46970906964124087</v>
      </c>
      <c r="D12">
        <f t="shared" ca="1" si="0"/>
        <v>-0.7015725331944177</v>
      </c>
      <c r="E12">
        <f t="shared" ca="1" si="0"/>
        <v>0.91041722027437477</v>
      </c>
    </row>
    <row r="13" spans="1:5" x14ac:dyDescent="0.25">
      <c r="A13">
        <f t="shared" ca="1" si="0"/>
        <v>0.39656009035540035</v>
      </c>
      <c r="B13">
        <f t="shared" ca="1" si="0"/>
        <v>0.22053155201994684</v>
      </c>
      <c r="C13">
        <f t="shared" ca="1" si="0"/>
        <v>0.80819793049636546</v>
      </c>
      <c r="D13">
        <f t="shared" ca="1" si="0"/>
        <v>0.19927232903951944</v>
      </c>
      <c r="E13">
        <f t="shared" ca="1" si="0"/>
        <v>1.447095639085932</v>
      </c>
    </row>
    <row r="14" spans="1:5" x14ac:dyDescent="0.25">
      <c r="A14">
        <f t="shared" ca="1" si="0"/>
        <v>0.82214858690314963</v>
      </c>
      <c r="B14">
        <f t="shared" ca="1" si="0"/>
        <v>-0.35389425895187082</v>
      </c>
      <c r="C14">
        <f t="shared" ca="1" si="0"/>
        <v>-1.204813361246271</v>
      </c>
      <c r="D14">
        <f t="shared" ca="1" si="0"/>
        <v>0.61436154668281773</v>
      </c>
      <c r="E14">
        <f t="shared" ca="1" si="0"/>
        <v>0.38046826345088364</v>
      </c>
    </row>
    <row r="15" spans="1:5" x14ac:dyDescent="0.25">
      <c r="A15">
        <f t="shared" ca="1" si="0"/>
        <v>0.68284032478368473</v>
      </c>
      <c r="B15">
        <f t="shared" ca="1" si="0"/>
        <v>1.0867339152419904</v>
      </c>
      <c r="C15">
        <f t="shared" ca="1" si="0"/>
        <v>0.87080236352528073</v>
      </c>
      <c r="D15">
        <f t="shared" ca="1" si="0"/>
        <v>-0.93123032700622943</v>
      </c>
      <c r="E15">
        <f t="shared" ca="1" si="0"/>
        <v>-0.32264469261390594</v>
      </c>
    </row>
    <row r="16" spans="1:5" x14ac:dyDescent="0.25">
      <c r="A16">
        <f t="shared" ca="1" si="0"/>
        <v>-0.12987223948612442</v>
      </c>
      <c r="B16">
        <f t="shared" ca="1" si="0"/>
        <v>0.25060900390256119</v>
      </c>
      <c r="C16">
        <f t="shared" ca="1" si="0"/>
        <v>-1.2906658961073072</v>
      </c>
      <c r="D16">
        <f t="shared" ca="1" si="0"/>
        <v>-0.11978288217014074</v>
      </c>
      <c r="E16">
        <f t="shared" ca="1" si="0"/>
        <v>-0.55629489075698191</v>
      </c>
    </row>
    <row r="17" spans="1:5" x14ac:dyDescent="0.25">
      <c r="A17">
        <f t="shared" ca="1" si="0"/>
        <v>-0.51580499443414884</v>
      </c>
      <c r="B17">
        <f t="shared" ca="1" si="0"/>
        <v>0.85910202525221047</v>
      </c>
      <c r="C17">
        <f t="shared" ca="1" si="0"/>
        <v>1.7899977587862044</v>
      </c>
      <c r="D17">
        <f t="shared" ca="1" si="0"/>
        <v>-0.37068114326330653</v>
      </c>
      <c r="E17">
        <f t="shared" ca="1" si="0"/>
        <v>-0.25556141542192001</v>
      </c>
    </row>
    <row r="18" spans="1:5" x14ac:dyDescent="0.25">
      <c r="A18">
        <f t="shared" ca="1" si="0"/>
        <v>0.18422874269833794</v>
      </c>
      <c r="B18">
        <f t="shared" ca="1" si="0"/>
        <v>1.4889388448268659</v>
      </c>
      <c r="C18">
        <f t="shared" ca="1" si="0"/>
        <v>-0.66716971595402619</v>
      </c>
      <c r="D18">
        <f t="shared" ca="1" si="0"/>
        <v>-1.0942810548073263</v>
      </c>
      <c r="E18">
        <f t="shared" ca="1" si="0"/>
        <v>-0.37437615702814819</v>
      </c>
    </row>
    <row r="19" spans="1:5" x14ac:dyDescent="0.25">
      <c r="A19">
        <f t="shared" ca="1" si="0"/>
        <v>-0.27241619829489955</v>
      </c>
      <c r="B19">
        <f t="shared" ca="1" si="0"/>
        <v>0.30313914932467301</v>
      </c>
      <c r="C19">
        <f t="shared" ca="1" si="0"/>
        <v>2.7826012051276767</v>
      </c>
      <c r="D19">
        <f t="shared" ca="1" si="0"/>
        <v>1.6686791317124159</v>
      </c>
      <c r="E19">
        <f t="shared" ca="1" si="0"/>
        <v>-5.7217283321569036E-2</v>
      </c>
    </row>
    <row r="20" spans="1:5" x14ac:dyDescent="0.25">
      <c r="A20">
        <f t="shared" ca="1" si="0"/>
        <v>0.51058332418170493</v>
      </c>
      <c r="B20">
        <f t="shared" ca="1" si="0"/>
        <v>1.0661141537147871</v>
      </c>
      <c r="C20">
        <f t="shared" ca="1" si="0"/>
        <v>-0.95126977516416134</v>
      </c>
      <c r="D20">
        <f t="shared" ca="1" si="0"/>
        <v>2.4162773483378294E-2</v>
      </c>
      <c r="E20">
        <f t="shared" ca="1" si="0"/>
        <v>0.16022054732519372</v>
      </c>
    </row>
    <row r="21" spans="1:5" x14ac:dyDescent="0.25">
      <c r="A21">
        <f t="shared" ca="1" si="0"/>
        <v>-0.94275648994376504</v>
      </c>
      <c r="B21">
        <f t="shared" ca="1" si="0"/>
        <v>-2.2176003688020556</v>
      </c>
      <c r="C21">
        <f t="shared" ca="1" si="0"/>
        <v>1.4799885908547443</v>
      </c>
      <c r="D21">
        <f t="shared" ca="1" si="0"/>
        <v>0.84265189146297981</v>
      </c>
      <c r="E21">
        <f t="shared" ca="1" si="0"/>
        <v>0.32713554441004872</v>
      </c>
    </row>
    <row r="22" spans="1:5" x14ac:dyDescent="0.25">
      <c r="A22">
        <f t="shared" ca="1" si="0"/>
        <v>0.51811583227170832</v>
      </c>
      <c r="B22">
        <f t="shared" ca="1" si="0"/>
        <v>-1.1472769404261629</v>
      </c>
      <c r="C22">
        <f t="shared" ca="1" si="0"/>
        <v>2.869949452308354</v>
      </c>
      <c r="D22">
        <f t="shared" ca="1" si="0"/>
        <v>0.73497947203601854</v>
      </c>
      <c r="E22">
        <f t="shared" ca="1" si="0"/>
        <v>1.1796022087414284</v>
      </c>
    </row>
    <row r="23" spans="1:5" x14ac:dyDescent="0.25">
      <c r="A23">
        <f t="shared" ca="1" si="0"/>
        <v>1.1597248655184949</v>
      </c>
      <c r="B23">
        <f t="shared" ca="1" si="0"/>
        <v>-0.12026988779062282</v>
      </c>
      <c r="C23">
        <f t="shared" ca="1" si="0"/>
        <v>0.54311639343359552</v>
      </c>
      <c r="D23">
        <f t="shared" ca="1" si="0"/>
        <v>-0.64552654461180836</v>
      </c>
      <c r="E23">
        <f t="shared" ca="1" si="0"/>
        <v>-0.89064720584147206</v>
      </c>
    </row>
    <row r="24" spans="1:5" x14ac:dyDescent="0.25">
      <c r="A24">
        <f t="shared" ca="1" si="0"/>
        <v>-1.8342621231418674</v>
      </c>
      <c r="B24">
        <f t="shared" ca="1" si="0"/>
        <v>-0.53050641021081846</v>
      </c>
      <c r="C24">
        <f t="shared" ca="1" si="0"/>
        <v>-0.39566750213428087</v>
      </c>
      <c r="D24">
        <f t="shared" ca="1" si="0"/>
        <v>1.7358826277523525</v>
      </c>
      <c r="E24">
        <f t="shared" ca="1" si="0"/>
        <v>-0.26617910334164901</v>
      </c>
    </row>
    <row r="25" spans="1:5" x14ac:dyDescent="0.25">
      <c r="A25">
        <f t="shared" ca="1" si="0"/>
        <v>-0.68794219123675504</v>
      </c>
      <c r="B25">
        <f t="shared" ca="1" si="0"/>
        <v>-1.4769878509435848</v>
      </c>
      <c r="C25">
        <f t="shared" ca="1" si="0"/>
        <v>-0.99446236882177741</v>
      </c>
      <c r="D25">
        <f t="shared" ca="1" si="0"/>
        <v>-2.1798521536116326</v>
      </c>
      <c r="E25">
        <f t="shared" ca="1" si="0"/>
        <v>1.7266198080673885</v>
      </c>
    </row>
    <row r="26" spans="1:5" x14ac:dyDescent="0.25">
      <c r="A26">
        <f t="shared" ca="1" si="0"/>
        <v>-0.66926544012366573</v>
      </c>
      <c r="B26">
        <f t="shared" ca="1" si="0"/>
        <v>-1.4731520308484387</v>
      </c>
      <c r="C26">
        <f t="shared" ca="1" si="0"/>
        <v>-0.49217363432495354</v>
      </c>
      <c r="D26">
        <f t="shared" ca="1" si="0"/>
        <v>-5.5178691293846442E-2</v>
      </c>
      <c r="E26">
        <f t="shared" ca="1" si="0"/>
        <v>-0.76394242174664373</v>
      </c>
    </row>
    <row r="27" spans="1:5" x14ac:dyDescent="0.25">
      <c r="A27">
        <f t="shared" ca="1" si="0"/>
        <v>4.6841793711711349E-2</v>
      </c>
      <c r="B27">
        <f t="shared" ca="1" si="0"/>
        <v>0.40139662897971456</v>
      </c>
      <c r="C27">
        <f t="shared" ca="1" si="0"/>
        <v>-8.1572449404758954E-2</v>
      </c>
      <c r="D27">
        <f t="shared" ca="1" si="0"/>
        <v>0.67262082942139445</v>
      </c>
      <c r="E27">
        <f t="shared" ca="1" si="0"/>
        <v>-1.5363170340768391</v>
      </c>
    </row>
    <row r="28" spans="1:5" x14ac:dyDescent="0.25">
      <c r="A28">
        <f t="shared" ca="1" si="0"/>
        <v>0.29730878864510957</v>
      </c>
      <c r="B28">
        <f t="shared" ca="1" si="0"/>
        <v>-1.0498894338833609</v>
      </c>
      <c r="C28">
        <f t="shared" ca="1" si="0"/>
        <v>0.45116551914865233</v>
      </c>
      <c r="D28">
        <f t="shared" ca="1" si="0"/>
        <v>0.32728655285668645</v>
      </c>
      <c r="E28">
        <f t="shared" ca="1" si="0"/>
        <v>8.1985696813851976E-3</v>
      </c>
    </row>
    <row r="29" spans="1:5" x14ac:dyDescent="0.25">
      <c r="A29">
        <f t="shared" ca="1" si="0"/>
        <v>-1.7806989790907135</v>
      </c>
      <c r="B29">
        <f t="shared" ca="1" si="0"/>
        <v>0.19210184619805526</v>
      </c>
      <c r="C29">
        <f t="shared" ca="1" si="0"/>
        <v>-2.0854958194963173</v>
      </c>
      <c r="D29">
        <f t="shared" ca="1" si="0"/>
        <v>0.38878602751824126</v>
      </c>
      <c r="E29">
        <f t="shared" ca="1" si="0"/>
        <v>-0.84332037721218878</v>
      </c>
    </row>
    <row r="30" spans="1:5" x14ac:dyDescent="0.25">
      <c r="A30">
        <f t="shared" ca="1" si="0"/>
        <v>0.54700990774300284</v>
      </c>
      <c r="B30">
        <f t="shared" ca="1" si="0"/>
        <v>1.6011013642572083</v>
      </c>
      <c r="C30">
        <f t="shared" ca="1" si="0"/>
        <v>0.17481971084367776</v>
      </c>
      <c r="D30">
        <f t="shared" ca="1" si="0"/>
        <v>-0.11753422749100724</v>
      </c>
      <c r="E30">
        <f t="shared" ca="1" si="0"/>
        <v>-0.56893876472306371</v>
      </c>
    </row>
    <row r="31" spans="1:5" x14ac:dyDescent="0.25">
      <c r="A31">
        <f t="shared" ca="1" si="0"/>
        <v>3.558180002687162E-2</v>
      </c>
      <c r="B31">
        <f t="shared" ca="1" si="0"/>
        <v>0.6069987471506576</v>
      </c>
      <c r="C31">
        <f t="shared" ca="1" si="0"/>
        <v>-1.1265125747736677</v>
      </c>
      <c r="D31">
        <f t="shared" ca="1" si="0"/>
        <v>-5.7054871840565007E-2</v>
      </c>
      <c r="E31">
        <f t="shared" ca="1" si="0"/>
        <v>-2.9610585486634505E-2</v>
      </c>
    </row>
    <row r="32" spans="1:5" x14ac:dyDescent="0.25">
      <c r="A32">
        <f t="shared" ca="1" si="0"/>
        <v>1.0799046835204225</v>
      </c>
      <c r="B32">
        <f t="shared" ca="1" si="0"/>
        <v>-0.59959030727828966</v>
      </c>
      <c r="C32">
        <f t="shared" ca="1" si="0"/>
        <v>-0.18589236367654269</v>
      </c>
      <c r="D32">
        <f t="shared" ca="1" si="0"/>
        <v>-1.5866291812246429</v>
      </c>
      <c r="E32">
        <f t="shared" ca="1" si="0"/>
        <v>1.0469612845891742E-3</v>
      </c>
    </row>
    <row r="33" spans="1:5" x14ac:dyDescent="0.25">
      <c r="A33">
        <f t="shared" ca="1" si="0"/>
        <v>-0.22113304357679675</v>
      </c>
      <c r="B33">
        <f t="shared" ca="1" si="0"/>
        <v>-1.1955002206744327</v>
      </c>
      <c r="C33">
        <f t="shared" ca="1" si="0"/>
        <v>-1.4475869301509026</v>
      </c>
      <c r="D33">
        <f t="shared" ca="1" si="0"/>
        <v>-1.88000513041169E-2</v>
      </c>
      <c r="E33">
        <f t="shared" ca="1" si="0"/>
        <v>2.9204868544446306E-2</v>
      </c>
    </row>
    <row r="34" spans="1:5" x14ac:dyDescent="0.25">
      <c r="A34">
        <f t="shared" ref="A34:E65" ca="1" si="1">NORMINV(RAND(),0,1)</f>
        <v>0.71814188668706247</v>
      </c>
      <c r="B34">
        <f t="shared" ca="1" si="1"/>
        <v>0.25200336375060184</v>
      </c>
      <c r="C34">
        <f t="shared" ca="1" si="1"/>
        <v>-1.8262959648746382</v>
      </c>
      <c r="D34">
        <f t="shared" ca="1" si="1"/>
        <v>1.8930293365669932</v>
      </c>
      <c r="E34">
        <f t="shared" ca="1" si="1"/>
        <v>-8.5511698216375678E-2</v>
      </c>
    </row>
    <row r="35" spans="1:5" x14ac:dyDescent="0.25">
      <c r="A35">
        <f t="shared" ca="1" si="1"/>
        <v>0.20455756518182114</v>
      </c>
      <c r="B35">
        <f t="shared" ca="1" si="1"/>
        <v>2.1957519244851595</v>
      </c>
      <c r="C35">
        <f t="shared" ca="1" si="1"/>
        <v>1.4153774952479543</v>
      </c>
      <c r="D35">
        <f t="shared" ca="1" si="1"/>
        <v>-0.55169390252769457</v>
      </c>
      <c r="E35">
        <f t="shared" ca="1" si="1"/>
        <v>0.8014916281652712</v>
      </c>
    </row>
    <row r="36" spans="1:5" x14ac:dyDescent="0.25">
      <c r="A36">
        <f t="shared" ca="1" si="1"/>
        <v>0.67387883449576769</v>
      </c>
      <c r="B36">
        <f t="shared" ca="1" si="1"/>
        <v>-1.5083852801209374</v>
      </c>
      <c r="C36">
        <f t="shared" ca="1" si="1"/>
        <v>1.7468617037750881E-2</v>
      </c>
      <c r="D36">
        <f t="shared" ca="1" si="1"/>
        <v>-0.41417961583989549</v>
      </c>
      <c r="E36">
        <f t="shared" ca="1" si="1"/>
        <v>-0.16526083597122096</v>
      </c>
    </row>
    <row r="37" spans="1:5" x14ac:dyDescent="0.25">
      <c r="A37">
        <f t="shared" ca="1" si="1"/>
        <v>-1.1316193312990044</v>
      </c>
      <c r="B37">
        <f t="shared" ca="1" si="1"/>
        <v>0.4159868508417191</v>
      </c>
      <c r="C37">
        <f t="shared" ca="1" si="1"/>
        <v>1.4790180161746904</v>
      </c>
      <c r="D37">
        <f t="shared" ca="1" si="1"/>
        <v>1.2958965895708621</v>
      </c>
      <c r="E37">
        <f t="shared" ca="1" si="1"/>
        <v>-0.11161311723223578</v>
      </c>
    </row>
    <row r="38" spans="1:5" x14ac:dyDescent="0.25">
      <c r="A38">
        <f t="shared" ca="1" si="1"/>
        <v>-0.14803611349429086</v>
      </c>
      <c r="B38">
        <f t="shared" ca="1" si="1"/>
        <v>0.79453229159368544</v>
      </c>
      <c r="C38">
        <f t="shared" ca="1" si="1"/>
        <v>2.4797948545859727</v>
      </c>
      <c r="D38">
        <f t="shared" ca="1" si="1"/>
        <v>0.77835024697110999</v>
      </c>
      <c r="E38">
        <f t="shared" ca="1" si="1"/>
        <v>1.5443989060393772</v>
      </c>
    </row>
    <row r="39" spans="1:5" x14ac:dyDescent="0.25">
      <c r="A39">
        <f t="shared" ca="1" si="1"/>
        <v>2.7756851093799413</v>
      </c>
      <c r="B39">
        <f t="shared" ca="1" si="1"/>
        <v>1.3658162607055677</v>
      </c>
      <c r="C39">
        <f t="shared" ca="1" si="1"/>
        <v>-1.1172549249897277</v>
      </c>
      <c r="D39">
        <f t="shared" ca="1" si="1"/>
        <v>0.33108868082507864</v>
      </c>
      <c r="E39">
        <f t="shared" ca="1" si="1"/>
        <v>-1.0982002256213192</v>
      </c>
    </row>
    <row r="40" spans="1:5" x14ac:dyDescent="0.25">
      <c r="A40">
        <f t="shared" ca="1" si="1"/>
        <v>-0.78307750146390487</v>
      </c>
      <c r="B40">
        <f t="shared" ca="1" si="1"/>
        <v>-0.71749491028764845</v>
      </c>
      <c r="C40">
        <f t="shared" ca="1" si="1"/>
        <v>-7.8258120210461093E-2</v>
      </c>
      <c r="D40">
        <f t="shared" ca="1" si="1"/>
        <v>1.0140445402969893</v>
      </c>
      <c r="E40">
        <f t="shared" ca="1" si="1"/>
        <v>0.89852157213776429</v>
      </c>
    </row>
    <row r="41" spans="1:5" x14ac:dyDescent="0.25">
      <c r="A41">
        <f t="shared" ca="1" si="1"/>
        <v>1.4622675802646297</v>
      </c>
      <c r="B41">
        <f t="shared" ca="1" si="1"/>
        <v>-0.22577975315553381</v>
      </c>
      <c r="C41">
        <f t="shared" ca="1" si="1"/>
        <v>-0.56767263089443043</v>
      </c>
      <c r="D41">
        <f t="shared" ca="1" si="1"/>
        <v>0.83774343965038123</v>
      </c>
      <c r="E41">
        <f t="shared" ca="1" si="1"/>
        <v>0.38902746414211853</v>
      </c>
    </row>
    <row r="42" spans="1:5" x14ac:dyDescent="0.25">
      <c r="A42">
        <f t="shared" ca="1" si="1"/>
        <v>-1.6205084490297905</v>
      </c>
      <c r="B42">
        <f t="shared" ca="1" si="1"/>
        <v>1.5149284748138847</v>
      </c>
      <c r="C42">
        <f t="shared" ca="1" si="1"/>
        <v>0.6906008741191334</v>
      </c>
      <c r="D42">
        <f t="shared" ca="1" si="1"/>
        <v>-9.492456285178513E-4</v>
      </c>
      <c r="E42">
        <f t="shared" ca="1" si="1"/>
        <v>0.2483104692191947</v>
      </c>
    </row>
    <row r="43" spans="1:5" x14ac:dyDescent="0.25">
      <c r="A43">
        <f t="shared" ca="1" si="1"/>
        <v>7.2997638522758534E-2</v>
      </c>
      <c r="B43">
        <f t="shared" ca="1" si="1"/>
        <v>-1.0628095664091599</v>
      </c>
      <c r="C43">
        <f t="shared" ca="1" si="1"/>
        <v>0.26406473096898975</v>
      </c>
      <c r="D43">
        <f t="shared" ca="1" si="1"/>
        <v>1.3018368876581008</v>
      </c>
      <c r="E43">
        <f t="shared" ca="1" si="1"/>
        <v>1.16873707544134</v>
      </c>
    </row>
    <row r="44" spans="1:5" x14ac:dyDescent="0.25">
      <c r="A44">
        <f t="shared" ca="1" si="1"/>
        <v>1.0001788545706033E-2</v>
      </c>
      <c r="B44">
        <f t="shared" ca="1" si="1"/>
        <v>0.88409584480150183</v>
      </c>
      <c r="C44">
        <f t="shared" ca="1" si="1"/>
        <v>-0.76503337168456009</v>
      </c>
      <c r="D44">
        <f t="shared" ca="1" si="1"/>
        <v>0.55429264704537895</v>
      </c>
      <c r="E44">
        <f t="shared" ca="1" si="1"/>
        <v>0.27941396686408337</v>
      </c>
    </row>
    <row r="45" spans="1:5" x14ac:dyDescent="0.25">
      <c r="A45">
        <f t="shared" ca="1" si="1"/>
        <v>-0.4427936269131692</v>
      </c>
      <c r="B45">
        <f t="shared" ca="1" si="1"/>
        <v>-1.0287844019225263</v>
      </c>
      <c r="C45">
        <f t="shared" ca="1" si="1"/>
        <v>-0.80019527035258342</v>
      </c>
      <c r="D45">
        <f t="shared" ca="1" si="1"/>
        <v>-1.0591381042625543</v>
      </c>
      <c r="E45">
        <f t="shared" ca="1" si="1"/>
        <v>0.73489724659742817</v>
      </c>
    </row>
    <row r="46" spans="1:5" x14ac:dyDescent="0.25">
      <c r="A46">
        <f t="shared" ca="1" si="1"/>
        <v>-0.63319593756319448</v>
      </c>
      <c r="B46">
        <f t="shared" ca="1" si="1"/>
        <v>0.65137191829397256</v>
      </c>
      <c r="C46">
        <f t="shared" ca="1" si="1"/>
        <v>0.61991775569826957</v>
      </c>
      <c r="D46">
        <f t="shared" ca="1" si="1"/>
        <v>0.49743127236524987</v>
      </c>
      <c r="E46">
        <f t="shared" ca="1" si="1"/>
        <v>-0.9449546417856125</v>
      </c>
    </row>
    <row r="47" spans="1:5" x14ac:dyDescent="0.25">
      <c r="A47">
        <f t="shared" ca="1" si="1"/>
        <v>-2.2001921628563426</v>
      </c>
      <c r="B47">
        <f t="shared" ca="1" si="1"/>
        <v>0.39383049780806023</v>
      </c>
      <c r="C47">
        <f t="shared" ca="1" si="1"/>
        <v>-1.3807569387372185</v>
      </c>
      <c r="D47">
        <f t="shared" ca="1" si="1"/>
        <v>-0.75346012018448127</v>
      </c>
      <c r="E47">
        <f t="shared" ca="1" si="1"/>
        <v>2.9601189639354257</v>
      </c>
    </row>
    <row r="48" spans="1:5" x14ac:dyDescent="0.25">
      <c r="A48">
        <f t="shared" ca="1" si="1"/>
        <v>-0.63964189465829457</v>
      </c>
      <c r="B48">
        <f t="shared" ca="1" si="1"/>
        <v>0.23952680768189261</v>
      </c>
      <c r="C48">
        <f t="shared" ca="1" si="1"/>
        <v>-0.19322188125625339</v>
      </c>
      <c r="D48">
        <f t="shared" ca="1" si="1"/>
        <v>1.6861355023029538</v>
      </c>
      <c r="E48">
        <f t="shared" ca="1" si="1"/>
        <v>-0.36759161495821202</v>
      </c>
    </row>
    <row r="49" spans="1:5" x14ac:dyDescent="0.25">
      <c r="A49">
        <f t="shared" ca="1" si="1"/>
        <v>0.52881202560133722</v>
      </c>
      <c r="B49">
        <f t="shared" ca="1" si="1"/>
        <v>-7.4691909590489047E-2</v>
      </c>
      <c r="C49">
        <f t="shared" ca="1" si="1"/>
        <v>-0.59205573618330642</v>
      </c>
      <c r="D49">
        <f t="shared" ca="1" si="1"/>
        <v>-0.92165826713581589</v>
      </c>
      <c r="E49">
        <f t="shared" ca="1" si="1"/>
        <v>1.353306648979294</v>
      </c>
    </row>
    <row r="50" spans="1:5" x14ac:dyDescent="0.25">
      <c r="A50">
        <f t="shared" ca="1" si="1"/>
        <v>-1.0409396159725106</v>
      </c>
      <c r="B50">
        <f t="shared" ca="1" si="1"/>
        <v>2.2249138103117874</v>
      </c>
      <c r="C50">
        <f t="shared" ca="1" si="1"/>
        <v>-0.86221608984725173</v>
      </c>
      <c r="D50">
        <f t="shared" ca="1" si="1"/>
        <v>-0.43213815994637284</v>
      </c>
      <c r="E50">
        <f t="shared" ca="1" si="1"/>
        <v>-0.32988433889630198</v>
      </c>
    </row>
    <row r="51" spans="1:5" x14ac:dyDescent="0.25">
      <c r="A51">
        <f t="shared" ca="1" si="1"/>
        <v>-0.34724249282071956</v>
      </c>
      <c r="B51">
        <f t="shared" ca="1" si="1"/>
        <v>-1.8942682681279173</v>
      </c>
      <c r="C51">
        <f t="shared" ca="1" si="1"/>
        <v>0.14284872245216276</v>
      </c>
      <c r="D51">
        <f t="shared" ca="1" si="1"/>
        <v>-0.64065671698324667</v>
      </c>
      <c r="E51">
        <f t="shared" ca="1" si="1"/>
        <v>-1.7182803956959065</v>
      </c>
    </row>
    <row r="52" spans="1:5" x14ac:dyDescent="0.25">
      <c r="A52">
        <f t="shared" ca="1" si="1"/>
        <v>1.0348209396727726</v>
      </c>
      <c r="B52">
        <f t="shared" ca="1" si="1"/>
        <v>2.067866702294921E-2</v>
      </c>
      <c r="C52">
        <f t="shared" ca="1" si="1"/>
        <v>3.5547890537369807E-2</v>
      </c>
      <c r="D52">
        <f t="shared" ca="1" si="1"/>
        <v>-0.61427323015995794</v>
      </c>
      <c r="E52">
        <f t="shared" ca="1" si="1"/>
        <v>0.18222547651892601</v>
      </c>
    </row>
    <row r="53" spans="1:5" x14ac:dyDescent="0.25">
      <c r="A53">
        <f t="shared" ca="1" si="1"/>
        <v>4.6962671665675261E-4</v>
      </c>
      <c r="B53">
        <f t="shared" ca="1" si="1"/>
        <v>-1.3828695114842406</v>
      </c>
      <c r="C53">
        <f t="shared" ca="1" si="1"/>
        <v>-1.6013871449784158</v>
      </c>
      <c r="D53">
        <f t="shared" ca="1" si="1"/>
        <v>0.64621357311487415</v>
      </c>
      <c r="E53">
        <f t="shared" ca="1" si="1"/>
        <v>1.8912024337057391</v>
      </c>
    </row>
    <row r="54" spans="1:5" x14ac:dyDescent="0.25">
      <c r="A54">
        <f t="shared" ca="1" si="1"/>
        <v>0.20843182357385778</v>
      </c>
      <c r="B54">
        <f t="shared" ca="1" si="1"/>
        <v>8.34165530453089E-2</v>
      </c>
      <c r="C54">
        <f t="shared" ca="1" si="1"/>
        <v>0.40067861544364636</v>
      </c>
      <c r="D54">
        <f t="shared" ca="1" si="1"/>
        <v>-0.86105577362490393</v>
      </c>
      <c r="E54">
        <f t="shared" ca="1" si="1"/>
        <v>0.80208521703626101</v>
      </c>
    </row>
    <row r="55" spans="1:5" x14ac:dyDescent="0.25">
      <c r="A55">
        <f t="shared" ca="1" si="1"/>
        <v>-0.2361907402048036</v>
      </c>
      <c r="B55">
        <f t="shared" ca="1" si="1"/>
        <v>-0.62082208051412491</v>
      </c>
      <c r="C55">
        <f t="shared" ca="1" si="1"/>
        <v>0.6816726179878061</v>
      </c>
      <c r="D55">
        <f t="shared" ca="1" si="1"/>
        <v>-1.2330936130699319</v>
      </c>
      <c r="E55">
        <f t="shared" ca="1" si="1"/>
        <v>-1.1572758512228483</v>
      </c>
    </row>
    <row r="56" spans="1:5" x14ac:dyDescent="0.25">
      <c r="A56">
        <f t="shared" ca="1" si="1"/>
        <v>6.6378191390072897E-3</v>
      </c>
      <c r="B56">
        <f t="shared" ca="1" si="1"/>
        <v>-0.17868379477781121</v>
      </c>
      <c r="C56">
        <f t="shared" ca="1" si="1"/>
        <v>1.0132142526164709</v>
      </c>
      <c r="D56">
        <f t="shared" ca="1" si="1"/>
        <v>-1.1204592582682527</v>
      </c>
      <c r="E56">
        <f t="shared" ca="1" si="1"/>
        <v>0.56312891506747809</v>
      </c>
    </row>
    <row r="57" spans="1:5" x14ac:dyDescent="0.25">
      <c r="A57">
        <f t="shared" ca="1" si="1"/>
        <v>0.16762495049659862</v>
      </c>
      <c r="B57">
        <f t="shared" ca="1" si="1"/>
        <v>2.8370266867306873</v>
      </c>
      <c r="C57">
        <f t="shared" ca="1" si="1"/>
        <v>-5.1235772399216603E-2</v>
      </c>
      <c r="D57">
        <f t="shared" ca="1" si="1"/>
        <v>1.1332171559542583</v>
      </c>
      <c r="E57">
        <f t="shared" ca="1" si="1"/>
        <v>-0.11556932924427891</v>
      </c>
    </row>
    <row r="58" spans="1:5" x14ac:dyDescent="0.25">
      <c r="A58">
        <f t="shared" ca="1" si="1"/>
        <v>-0.91290094243631836</v>
      </c>
      <c r="B58">
        <f t="shared" ca="1" si="1"/>
        <v>-4.1427017023317504E-2</v>
      </c>
      <c r="C58">
        <f t="shared" ca="1" si="1"/>
        <v>-0.85923832419061341</v>
      </c>
      <c r="D58">
        <f t="shared" ca="1" si="1"/>
        <v>-0.96904280204688542</v>
      </c>
      <c r="E58">
        <f t="shared" ca="1" si="1"/>
        <v>1.1098818858371362</v>
      </c>
    </row>
    <row r="59" spans="1:5" x14ac:dyDescent="0.25">
      <c r="A59">
        <f t="shared" ca="1" si="1"/>
        <v>-0.64604134420002124</v>
      </c>
      <c r="B59">
        <f t="shared" ca="1" si="1"/>
        <v>-1.2938254647224134</v>
      </c>
      <c r="C59">
        <f t="shared" ca="1" si="1"/>
        <v>1.0627869247617205</v>
      </c>
      <c r="D59">
        <f t="shared" ca="1" si="1"/>
        <v>0.5017917101407211</v>
      </c>
      <c r="E59">
        <f t="shared" ca="1" si="1"/>
        <v>-1.1495079275304694</v>
      </c>
    </row>
    <row r="60" spans="1:5" x14ac:dyDescent="0.25">
      <c r="A60">
        <f t="shared" ca="1" si="1"/>
        <v>-0.9822832972271488</v>
      </c>
      <c r="B60">
        <f t="shared" ca="1" si="1"/>
        <v>0.9524192213801822</v>
      </c>
      <c r="C60">
        <f t="shared" ca="1" si="1"/>
        <v>-0.40300234230403903</v>
      </c>
      <c r="D60">
        <f t="shared" ca="1" si="1"/>
        <v>0.66135783987633379</v>
      </c>
      <c r="E60">
        <f t="shared" ca="1" si="1"/>
        <v>-0.50586700971093612</v>
      </c>
    </row>
    <row r="61" spans="1:5" x14ac:dyDescent="0.25">
      <c r="A61">
        <f t="shared" ca="1" si="1"/>
        <v>-1.4460606431248091</v>
      </c>
      <c r="B61">
        <f t="shared" ca="1" si="1"/>
        <v>0.6402683305004313</v>
      </c>
      <c r="C61">
        <f t="shared" ca="1" si="1"/>
        <v>1.873235749913098</v>
      </c>
      <c r="D61">
        <f t="shared" ca="1" si="1"/>
        <v>1.2265843062162949</v>
      </c>
      <c r="E61">
        <f t="shared" ca="1" si="1"/>
        <v>0.15263787047565516</v>
      </c>
    </row>
    <row r="62" spans="1:5" x14ac:dyDescent="0.25">
      <c r="A62">
        <f t="shared" ca="1" si="1"/>
        <v>1.1792033796392751</v>
      </c>
      <c r="B62">
        <f t="shared" ca="1" si="1"/>
        <v>1.1070987084891735</v>
      </c>
      <c r="C62">
        <f t="shared" ca="1" si="1"/>
        <v>3.5938662787593119E-2</v>
      </c>
      <c r="D62">
        <f t="shared" ca="1" si="1"/>
        <v>0.51252806261054373</v>
      </c>
      <c r="E62">
        <f t="shared" ca="1" si="1"/>
        <v>-0.31660868707008522</v>
      </c>
    </row>
    <row r="63" spans="1:5" x14ac:dyDescent="0.25">
      <c r="A63">
        <f t="shared" ca="1" si="1"/>
        <v>-0.70648964640354817</v>
      </c>
      <c r="B63">
        <f t="shared" ca="1" si="1"/>
        <v>1.3696260325429941</v>
      </c>
      <c r="C63">
        <f t="shared" ca="1" si="1"/>
        <v>1.4144745601114803</v>
      </c>
      <c r="D63">
        <f t="shared" ca="1" si="1"/>
        <v>-0.82143928113403331</v>
      </c>
      <c r="E63">
        <f t="shared" ca="1" si="1"/>
        <v>0.54175844055034761</v>
      </c>
    </row>
    <row r="64" spans="1:5" x14ac:dyDescent="0.25">
      <c r="A64">
        <f t="shared" ca="1" si="1"/>
        <v>-0.17361223344679455</v>
      </c>
      <c r="B64">
        <f t="shared" ca="1" si="1"/>
        <v>-1.0724802365857475</v>
      </c>
      <c r="C64">
        <f t="shared" ca="1" si="1"/>
        <v>1.1712217827607589</v>
      </c>
      <c r="D64">
        <f t="shared" ca="1" si="1"/>
        <v>0.85955561502807676</v>
      </c>
      <c r="E64">
        <f t="shared" ca="1" si="1"/>
        <v>-5.280965769634284E-2</v>
      </c>
    </row>
    <row r="65" spans="1:5" x14ac:dyDescent="0.25">
      <c r="A65">
        <f t="shared" ca="1" si="1"/>
        <v>-1.1839859476023855</v>
      </c>
      <c r="B65">
        <f t="shared" ca="1" si="1"/>
        <v>-1.6710231493783076</v>
      </c>
      <c r="C65">
        <f t="shared" ca="1" si="1"/>
        <v>-0.22002024992765001</v>
      </c>
      <c r="D65">
        <f t="shared" ca="1" si="1"/>
        <v>1.5408923111429351</v>
      </c>
      <c r="E65">
        <f t="shared" ca="1" si="1"/>
        <v>1.256356030636764</v>
      </c>
    </row>
    <row r="66" spans="1:5" x14ac:dyDescent="0.25">
      <c r="A66">
        <f t="shared" ref="A66:E97" ca="1" si="2">NORMINV(RAND(),0,1)</f>
        <v>-0.9404727722458871</v>
      </c>
      <c r="B66">
        <f t="shared" ca="1" si="2"/>
        <v>1.583098032551371</v>
      </c>
      <c r="C66">
        <f t="shared" ca="1" si="2"/>
        <v>-0.71949506513152495</v>
      </c>
      <c r="D66">
        <f t="shared" ca="1" si="2"/>
        <v>2.9836056680041891</v>
      </c>
      <c r="E66">
        <f t="shared" ca="1" si="2"/>
        <v>-1.2525316885009323</v>
      </c>
    </row>
    <row r="67" spans="1:5" x14ac:dyDescent="0.25">
      <c r="A67">
        <f t="shared" ca="1" si="2"/>
        <v>0.65295048785823284</v>
      </c>
      <c r="B67">
        <f t="shared" ca="1" si="2"/>
        <v>-0.8743244023124076</v>
      </c>
      <c r="C67">
        <f t="shared" ca="1" si="2"/>
        <v>-1.1355961576600828</v>
      </c>
      <c r="D67">
        <f t="shared" ca="1" si="2"/>
        <v>0.58530430923564214</v>
      </c>
      <c r="E67">
        <f t="shared" ca="1" si="2"/>
        <v>1.1370439946851185</v>
      </c>
    </row>
    <row r="68" spans="1:5" x14ac:dyDescent="0.25">
      <c r="A68">
        <f t="shared" ca="1" si="2"/>
        <v>-1.3995959735573169</v>
      </c>
      <c r="B68">
        <f t="shared" ca="1" si="2"/>
        <v>1.1214072311883969</v>
      </c>
      <c r="C68">
        <f t="shared" ca="1" si="2"/>
        <v>1.0913967636067152</v>
      </c>
      <c r="D68">
        <f t="shared" ca="1" si="2"/>
        <v>0.61246040830492299</v>
      </c>
      <c r="E68">
        <f t="shared" ca="1" si="2"/>
        <v>-6.3755664381107219E-2</v>
      </c>
    </row>
    <row r="69" spans="1:5" x14ac:dyDescent="0.25">
      <c r="A69">
        <f t="shared" ca="1" si="2"/>
        <v>0.45580612150933086</v>
      </c>
      <c r="B69">
        <f t="shared" ca="1" si="2"/>
        <v>0.42435778949926584</v>
      </c>
      <c r="C69">
        <f t="shared" ca="1" si="2"/>
        <v>-0.87307872570604206</v>
      </c>
      <c r="D69">
        <f t="shared" ca="1" si="2"/>
        <v>-1.0766874662142525</v>
      </c>
      <c r="E69">
        <f t="shared" ca="1" si="2"/>
        <v>-0.56622803025222734</v>
      </c>
    </row>
    <row r="70" spans="1:5" x14ac:dyDescent="0.25">
      <c r="A70">
        <f t="shared" ca="1" si="2"/>
        <v>-1.1303877913421765E-3</v>
      </c>
      <c r="B70">
        <f t="shared" ca="1" si="2"/>
        <v>-1.2789750521508625</v>
      </c>
      <c r="C70">
        <f t="shared" ca="1" si="2"/>
        <v>-8.3708219278735244E-2</v>
      </c>
      <c r="D70">
        <f t="shared" ca="1" si="2"/>
        <v>9.6903751522405976E-2</v>
      </c>
      <c r="E70">
        <f t="shared" ca="1" si="2"/>
        <v>0.90813741734468822</v>
      </c>
    </row>
    <row r="71" spans="1:5" x14ac:dyDescent="0.25">
      <c r="A71">
        <f t="shared" ca="1" si="2"/>
        <v>2.6805942728709802</v>
      </c>
      <c r="B71">
        <f t="shared" ca="1" si="2"/>
        <v>0.63752451355545936</v>
      </c>
      <c r="C71">
        <f t="shared" ca="1" si="2"/>
        <v>0.5726079796618091</v>
      </c>
      <c r="D71">
        <f t="shared" ca="1" si="2"/>
        <v>1.3698412103356106</v>
      </c>
      <c r="E71">
        <f t="shared" ca="1" si="2"/>
        <v>-1.3446009303826065</v>
      </c>
    </row>
    <row r="72" spans="1:5" x14ac:dyDescent="0.25">
      <c r="A72">
        <f t="shared" ca="1" si="2"/>
        <v>-0.85732316781821538</v>
      </c>
      <c r="B72">
        <f t="shared" ca="1" si="2"/>
        <v>-1.6487626079220783</v>
      </c>
      <c r="C72">
        <f t="shared" ca="1" si="2"/>
        <v>0.25156411200975809</v>
      </c>
      <c r="D72">
        <f t="shared" ca="1" si="2"/>
        <v>-1.0800402448797826</v>
      </c>
      <c r="E72">
        <f t="shared" ca="1" si="2"/>
        <v>-0.82138613061288879</v>
      </c>
    </row>
    <row r="73" spans="1:5" x14ac:dyDescent="0.25">
      <c r="A73">
        <f t="shared" ca="1" si="2"/>
        <v>-2.23524436344209</v>
      </c>
      <c r="B73">
        <f t="shared" ca="1" si="2"/>
        <v>1.6546599832793081</v>
      </c>
      <c r="C73">
        <f t="shared" ca="1" si="2"/>
        <v>1.2271014824728157</v>
      </c>
      <c r="D73">
        <f t="shared" ca="1" si="2"/>
        <v>-0.6513461456367422</v>
      </c>
      <c r="E73">
        <f t="shared" ca="1" si="2"/>
        <v>0.60844013322899393</v>
      </c>
    </row>
    <row r="74" spans="1:5" x14ac:dyDescent="0.25">
      <c r="A74">
        <f t="shared" ca="1" si="2"/>
        <v>0.14025426188490775</v>
      </c>
      <c r="B74">
        <f t="shared" ca="1" si="2"/>
        <v>0.439228572960215</v>
      </c>
      <c r="C74">
        <f t="shared" ca="1" si="2"/>
        <v>-0.51205853806512958</v>
      </c>
      <c r="D74">
        <f t="shared" ca="1" si="2"/>
        <v>1.0232965142726449</v>
      </c>
      <c r="E74">
        <f t="shared" ca="1" si="2"/>
        <v>-0.25619314817014488</v>
      </c>
    </row>
    <row r="75" spans="1:5" x14ac:dyDescent="0.25">
      <c r="A75">
        <f t="shared" ca="1" si="2"/>
        <v>-1.0853272411485302</v>
      </c>
      <c r="B75">
        <f t="shared" ca="1" si="2"/>
        <v>-1.5678086833295335</v>
      </c>
      <c r="C75">
        <f t="shared" ca="1" si="2"/>
        <v>0.50222651796364171</v>
      </c>
      <c r="D75">
        <f t="shared" ca="1" si="2"/>
        <v>-0.2448257477182201</v>
      </c>
      <c r="E75">
        <f t="shared" ca="1" si="2"/>
        <v>1.4473615178147041</v>
      </c>
    </row>
    <row r="76" spans="1:5" x14ac:dyDescent="0.25">
      <c r="A76">
        <f t="shared" ca="1" si="2"/>
        <v>-1.4052372346133051</v>
      </c>
      <c r="B76">
        <f t="shared" ca="1" si="2"/>
        <v>-0.30956347919955385</v>
      </c>
      <c r="C76">
        <f t="shared" ca="1" si="2"/>
        <v>-1.8445100596480735E-2</v>
      </c>
      <c r="D76">
        <f t="shared" ca="1" si="2"/>
        <v>-0.47809813147746821</v>
      </c>
      <c r="E76">
        <f t="shared" ca="1" si="2"/>
        <v>-0.6896615947677367</v>
      </c>
    </row>
    <row r="77" spans="1:5" x14ac:dyDescent="0.25">
      <c r="A77">
        <f t="shared" ca="1" si="2"/>
        <v>1.1519886724731436</v>
      </c>
      <c r="B77">
        <f t="shared" ca="1" si="2"/>
        <v>0.37509807780903498</v>
      </c>
      <c r="C77">
        <f t="shared" ca="1" si="2"/>
        <v>-0.40466170973329846</v>
      </c>
      <c r="D77">
        <f t="shared" ca="1" si="2"/>
        <v>1.0564351848165354</v>
      </c>
      <c r="E77">
        <f t="shared" ca="1" si="2"/>
        <v>-1.0367708296407681</v>
      </c>
    </row>
    <row r="78" spans="1:5" x14ac:dyDescent="0.25">
      <c r="A78">
        <f t="shared" ca="1" si="2"/>
        <v>-2.0112293901096763</v>
      </c>
      <c r="B78">
        <f t="shared" ca="1" si="2"/>
        <v>0.35127424604366814</v>
      </c>
      <c r="C78">
        <f t="shared" ca="1" si="2"/>
        <v>1.3848391499543808</v>
      </c>
      <c r="D78">
        <f t="shared" ca="1" si="2"/>
        <v>-0.48630655913524901</v>
      </c>
      <c r="E78">
        <f t="shared" ca="1" si="2"/>
        <v>-0.21090726704387472</v>
      </c>
    </row>
    <row r="79" spans="1:5" x14ac:dyDescent="0.25">
      <c r="A79">
        <f t="shared" ca="1" si="2"/>
        <v>0.37218251751022502</v>
      </c>
      <c r="B79">
        <f t="shared" ca="1" si="2"/>
        <v>0.35575788171661876</v>
      </c>
      <c r="C79">
        <f t="shared" ca="1" si="2"/>
        <v>-1.3211598981094435</v>
      </c>
      <c r="D79">
        <f t="shared" ca="1" si="2"/>
        <v>-0.4566919597091833</v>
      </c>
      <c r="E79">
        <f t="shared" ca="1" si="2"/>
        <v>0.72654052799050495</v>
      </c>
    </row>
    <row r="80" spans="1:5" x14ac:dyDescent="0.25">
      <c r="A80">
        <f t="shared" ca="1" si="2"/>
        <v>-0.25743672807350154</v>
      </c>
      <c r="B80">
        <f t="shared" ca="1" si="2"/>
        <v>1.6334300725455333</v>
      </c>
      <c r="C80">
        <f t="shared" ca="1" si="2"/>
        <v>0.64192870568744043</v>
      </c>
      <c r="D80">
        <f t="shared" ca="1" si="2"/>
        <v>1.2764455278008655</v>
      </c>
      <c r="E80">
        <f t="shared" ca="1" si="2"/>
        <v>-0.48411739152661076</v>
      </c>
    </row>
    <row r="81" spans="1:5" x14ac:dyDescent="0.25">
      <c r="A81">
        <f t="shared" ca="1" si="2"/>
        <v>-3.1182276863439808E-2</v>
      </c>
      <c r="B81">
        <f t="shared" ca="1" si="2"/>
        <v>-0.26899017338590409</v>
      </c>
      <c r="C81">
        <f t="shared" ca="1" si="2"/>
        <v>1.6655288712827352</v>
      </c>
      <c r="D81">
        <f t="shared" ca="1" si="2"/>
        <v>0.57738682434283872</v>
      </c>
      <c r="E81">
        <f t="shared" ca="1" si="2"/>
        <v>-0.15130068055834817</v>
      </c>
    </row>
    <row r="82" spans="1:5" x14ac:dyDescent="0.25">
      <c r="A82">
        <f t="shared" ca="1" si="2"/>
        <v>0.97447564563912947</v>
      </c>
      <c r="B82">
        <f t="shared" ca="1" si="2"/>
        <v>-0.23230647163894708</v>
      </c>
      <c r="C82">
        <f t="shared" ca="1" si="2"/>
        <v>0.91951593312474822</v>
      </c>
      <c r="D82">
        <f t="shared" ca="1" si="2"/>
        <v>0.13432709657638053</v>
      </c>
      <c r="E82">
        <f t="shared" ca="1" si="2"/>
        <v>0.15590076149218374</v>
      </c>
    </row>
    <row r="83" spans="1:5" x14ac:dyDescent="0.25">
      <c r="A83">
        <f t="shared" ca="1" si="2"/>
        <v>0.73158690791608938</v>
      </c>
      <c r="B83">
        <f t="shared" ca="1" si="2"/>
        <v>-0.56077978667655304</v>
      </c>
      <c r="C83">
        <f t="shared" ca="1" si="2"/>
        <v>-0.33625708854887632</v>
      </c>
      <c r="D83">
        <f t="shared" ca="1" si="2"/>
        <v>-0.92265070575839392</v>
      </c>
      <c r="E83">
        <f t="shared" ca="1" si="2"/>
        <v>-0.91331863085760712</v>
      </c>
    </row>
    <row r="84" spans="1:5" x14ac:dyDescent="0.25">
      <c r="A84">
        <f t="shared" ca="1" si="2"/>
        <v>-0.4705544631678063</v>
      </c>
      <c r="B84">
        <f t="shared" ca="1" si="2"/>
        <v>0.34293673582943124</v>
      </c>
      <c r="C84">
        <f t="shared" ca="1" si="2"/>
        <v>-0.89869336971350622</v>
      </c>
      <c r="D84">
        <f t="shared" ca="1" si="2"/>
        <v>-0.11311997505252408</v>
      </c>
      <c r="E84">
        <f t="shared" ca="1" si="2"/>
        <v>0.447631993927399</v>
      </c>
    </row>
    <row r="85" spans="1:5" x14ac:dyDescent="0.25">
      <c r="A85">
        <f t="shared" ca="1" si="2"/>
        <v>0.89277769601750745</v>
      </c>
      <c r="B85">
        <f t="shared" ca="1" si="2"/>
        <v>-1.6840673130471664</v>
      </c>
      <c r="C85">
        <f t="shared" ca="1" si="2"/>
        <v>-1.0038282193060919</v>
      </c>
      <c r="D85">
        <f t="shared" ca="1" si="2"/>
        <v>0.85907272969857973</v>
      </c>
      <c r="E85">
        <f t="shared" ca="1" si="2"/>
        <v>0.42835601649667782</v>
      </c>
    </row>
    <row r="86" spans="1:5" x14ac:dyDescent="0.25">
      <c r="A86">
        <f t="shared" ca="1" si="2"/>
        <v>0.46019409131114047</v>
      </c>
      <c r="B86">
        <f t="shared" ca="1" si="2"/>
        <v>-0.17871013954957726</v>
      </c>
      <c r="C86">
        <f t="shared" ca="1" si="2"/>
        <v>1.5029045327143187</v>
      </c>
      <c r="D86">
        <f t="shared" ca="1" si="2"/>
        <v>-1.5123838062478419</v>
      </c>
      <c r="E86">
        <f t="shared" ca="1" si="2"/>
        <v>1.3971818082495226</v>
      </c>
    </row>
    <row r="87" spans="1:5" x14ac:dyDescent="0.25">
      <c r="A87">
        <f t="shared" ca="1" si="2"/>
        <v>-0.78448486747965773</v>
      </c>
      <c r="B87">
        <f t="shared" ca="1" si="2"/>
        <v>-0.75410809002186341</v>
      </c>
      <c r="C87">
        <f t="shared" ca="1" si="2"/>
        <v>-0.19869384071774229</v>
      </c>
      <c r="D87">
        <f t="shared" ca="1" si="2"/>
        <v>-0.82849924615338388</v>
      </c>
      <c r="E87">
        <f t="shared" ca="1" si="2"/>
        <v>0.38483200299335657</v>
      </c>
    </row>
    <row r="88" spans="1:5" x14ac:dyDescent="0.25">
      <c r="A88">
        <f t="shared" ca="1" si="2"/>
        <v>-0.92112781457684623</v>
      </c>
      <c r="B88">
        <f t="shared" ca="1" si="2"/>
        <v>-0.80924459379532787</v>
      </c>
      <c r="C88">
        <f t="shared" ca="1" si="2"/>
        <v>1.3248917025550404</v>
      </c>
      <c r="D88">
        <f t="shared" ca="1" si="2"/>
        <v>-3.3469572509802199</v>
      </c>
      <c r="E88">
        <f t="shared" ca="1" si="2"/>
        <v>2.1318245327625767</v>
      </c>
    </row>
    <row r="89" spans="1:5" x14ac:dyDescent="0.25">
      <c r="A89">
        <f t="shared" ca="1" si="2"/>
        <v>-0.47608064031191472</v>
      </c>
      <c r="B89">
        <f t="shared" ca="1" si="2"/>
        <v>0.52400147180116752</v>
      </c>
      <c r="C89">
        <f t="shared" ca="1" si="2"/>
        <v>-1.1722150654147974</v>
      </c>
      <c r="D89">
        <f t="shared" ca="1" si="2"/>
        <v>-0.71761810146714733</v>
      </c>
      <c r="E89">
        <f t="shared" ca="1" si="2"/>
        <v>1.1314186172673408</v>
      </c>
    </row>
    <row r="90" spans="1:5" x14ac:dyDescent="0.25">
      <c r="A90">
        <f t="shared" ca="1" si="2"/>
        <v>1.2130861287555488</v>
      </c>
      <c r="B90">
        <f t="shared" ca="1" si="2"/>
        <v>-8.234400096633851E-2</v>
      </c>
      <c r="C90">
        <f t="shared" ca="1" si="2"/>
        <v>0.23293106683767389</v>
      </c>
      <c r="D90">
        <f t="shared" ca="1" si="2"/>
        <v>-1.1439918089931458</v>
      </c>
      <c r="E90">
        <f t="shared" ca="1" si="2"/>
        <v>-0.66246025774857442</v>
      </c>
    </row>
    <row r="91" spans="1:5" x14ac:dyDescent="0.25">
      <c r="A91">
        <f t="shared" ca="1" si="2"/>
        <v>-0.14487749043698209</v>
      </c>
      <c r="B91">
        <f t="shared" ca="1" si="2"/>
        <v>3.0574324976029646E-2</v>
      </c>
      <c r="C91">
        <f t="shared" ca="1" si="2"/>
        <v>0.66692399293139504</v>
      </c>
      <c r="D91">
        <f t="shared" ca="1" si="2"/>
        <v>1.2910756338003007</v>
      </c>
      <c r="E91">
        <f t="shared" ca="1" si="2"/>
        <v>2.3709063582089591</v>
      </c>
    </row>
    <row r="92" spans="1:5" x14ac:dyDescent="0.25">
      <c r="A92">
        <f t="shared" ca="1" si="2"/>
        <v>-0.24624703033859624</v>
      </c>
      <c r="B92">
        <f t="shared" ca="1" si="2"/>
        <v>-0.94258769070212378</v>
      </c>
      <c r="C92">
        <f t="shared" ca="1" si="2"/>
        <v>1.5175326345073894</v>
      </c>
      <c r="D92">
        <f t="shared" ca="1" si="2"/>
        <v>-2.9090748472817088E-4</v>
      </c>
      <c r="E92">
        <f t="shared" ca="1" si="2"/>
        <v>-1.0784601037728143</v>
      </c>
    </row>
    <row r="93" spans="1:5" x14ac:dyDescent="0.25">
      <c r="A93">
        <f t="shared" ca="1" si="2"/>
        <v>-0.75095602420380136</v>
      </c>
      <c r="B93">
        <f t="shared" ca="1" si="2"/>
        <v>-0.25643487861211123</v>
      </c>
      <c r="C93">
        <f t="shared" ca="1" si="2"/>
        <v>0.27179177510325475</v>
      </c>
      <c r="D93">
        <f t="shared" ca="1" si="2"/>
        <v>0.5150327286554226</v>
      </c>
      <c r="E93">
        <f t="shared" ca="1" si="2"/>
        <v>-1.0072430472117835</v>
      </c>
    </row>
    <row r="94" spans="1:5" x14ac:dyDescent="0.25">
      <c r="A94">
        <f t="shared" ca="1" si="2"/>
        <v>-0.72626932961262192</v>
      </c>
      <c r="B94">
        <f t="shared" ca="1" si="2"/>
        <v>0.85003460537313769</v>
      </c>
      <c r="C94">
        <f t="shared" ca="1" si="2"/>
        <v>-1.5433553335840794E-3</v>
      </c>
      <c r="D94">
        <f t="shared" ca="1" si="2"/>
        <v>-1.0262431897689386</v>
      </c>
      <c r="E94">
        <f t="shared" ca="1" si="2"/>
        <v>-0.43637809369571345</v>
      </c>
    </row>
    <row r="95" spans="1:5" x14ac:dyDescent="0.25">
      <c r="A95">
        <f t="shared" ca="1" si="2"/>
        <v>-0.86585674390395018</v>
      </c>
      <c r="B95">
        <f t="shared" ca="1" si="2"/>
        <v>3.2626982971490331E-2</v>
      </c>
      <c r="C95">
        <f t="shared" ca="1" si="2"/>
        <v>0.97829639073680952</v>
      </c>
      <c r="D95">
        <f t="shared" ca="1" si="2"/>
        <v>0.26064755185238953</v>
      </c>
      <c r="E95">
        <f t="shared" ca="1" si="2"/>
        <v>-0.45364424301023215</v>
      </c>
    </row>
    <row r="96" spans="1:5" x14ac:dyDescent="0.25">
      <c r="A96">
        <f t="shared" ca="1" si="2"/>
        <v>-1.31280432714474</v>
      </c>
      <c r="B96">
        <f t="shared" ca="1" si="2"/>
        <v>-0.48846378557383124</v>
      </c>
      <c r="C96">
        <f t="shared" ca="1" si="2"/>
        <v>0.52141215946538855</v>
      </c>
      <c r="D96">
        <f t="shared" ca="1" si="2"/>
        <v>0.37753853858932374</v>
      </c>
      <c r="E96">
        <f t="shared" ca="1" si="2"/>
        <v>1.012395884175203</v>
      </c>
    </row>
    <row r="97" spans="1:5" x14ac:dyDescent="0.25">
      <c r="A97">
        <f t="shared" ca="1" si="2"/>
        <v>0.58747433524034443</v>
      </c>
      <c r="B97">
        <f t="shared" ca="1" si="2"/>
        <v>-1.4938889751009501</v>
      </c>
      <c r="C97">
        <f t="shared" ca="1" si="2"/>
        <v>-0.5893924618606996</v>
      </c>
      <c r="D97">
        <f t="shared" ca="1" si="2"/>
        <v>0.71162343580182874</v>
      </c>
      <c r="E97">
        <f t="shared" ca="1" si="2"/>
        <v>0.20690406504734499</v>
      </c>
    </row>
    <row r="98" spans="1:5" x14ac:dyDescent="0.25">
      <c r="A98">
        <f t="shared" ref="A98:E129" ca="1" si="3">NORMINV(RAND(),0,1)</f>
        <v>-9.7238103111662672E-2</v>
      </c>
      <c r="B98">
        <f t="shared" ca="1" si="3"/>
        <v>0.52217556807054288</v>
      </c>
      <c r="C98">
        <f t="shared" ca="1" si="3"/>
        <v>-3.3496865993590544E-2</v>
      </c>
      <c r="D98">
        <f t="shared" ca="1" si="3"/>
        <v>-0.69457156165442402</v>
      </c>
      <c r="E98">
        <f t="shared" ca="1" si="3"/>
        <v>0.19432674566793853</v>
      </c>
    </row>
    <row r="99" spans="1:5" x14ac:dyDescent="0.25">
      <c r="A99">
        <f t="shared" ca="1" si="3"/>
        <v>-0.57602645531168239</v>
      </c>
      <c r="B99">
        <f t="shared" ca="1" si="3"/>
        <v>1.3089145024043336</v>
      </c>
      <c r="C99">
        <f t="shared" ca="1" si="3"/>
        <v>1.3496343089368974</v>
      </c>
      <c r="D99">
        <f t="shared" ca="1" si="3"/>
        <v>-0.75968024805379308</v>
      </c>
      <c r="E99">
        <f t="shared" ca="1" si="3"/>
        <v>-0.59565923523300845</v>
      </c>
    </row>
    <row r="100" spans="1:5" x14ac:dyDescent="0.25">
      <c r="A100">
        <f t="shared" ca="1" si="3"/>
        <v>-0.50032912285841291</v>
      </c>
      <c r="B100">
        <f t="shared" ca="1" si="3"/>
        <v>0.57836570964125367</v>
      </c>
      <c r="C100">
        <f t="shared" ca="1" si="3"/>
        <v>1.1495959358235039</v>
      </c>
      <c r="D100">
        <f t="shared" ca="1" si="3"/>
        <v>-0.73841634394488864</v>
      </c>
      <c r="E100">
        <f t="shared" ca="1" si="3"/>
        <v>0.37208170106973881</v>
      </c>
    </row>
    <row r="101" spans="1:5" x14ac:dyDescent="0.25">
      <c r="A101">
        <f t="shared" ca="1" si="3"/>
        <v>0.9035994562145736</v>
      </c>
      <c r="B101">
        <f t="shared" ca="1" si="3"/>
        <v>-0.59173252066189364</v>
      </c>
      <c r="C101">
        <f t="shared" ca="1" si="3"/>
        <v>-0.63899673979927596</v>
      </c>
      <c r="D101">
        <f t="shared" ca="1" si="3"/>
        <v>6.5809862071558353E-2</v>
      </c>
      <c r="E101">
        <f t="shared" ca="1" si="3"/>
        <v>1.5541303952576302</v>
      </c>
    </row>
    <row r="102" spans="1:5" x14ac:dyDescent="0.25">
      <c r="A102">
        <f t="shared" ca="1" si="3"/>
        <v>-1.1080404245696545</v>
      </c>
      <c r="B102">
        <f t="shared" ca="1" si="3"/>
        <v>-2.2487908095539746</v>
      </c>
      <c r="C102">
        <f t="shared" ca="1" si="3"/>
        <v>0.32632206922298462</v>
      </c>
      <c r="D102">
        <f t="shared" ca="1" si="3"/>
        <v>-0.94071410697195479</v>
      </c>
      <c r="E102">
        <f t="shared" ca="1" si="3"/>
        <v>-1.2670807447706689</v>
      </c>
    </row>
    <row r="103" spans="1:5" x14ac:dyDescent="0.25">
      <c r="A103">
        <f t="shared" ca="1" si="3"/>
        <v>-2.8837881236373326E-2</v>
      </c>
      <c r="B103">
        <f t="shared" ca="1" si="3"/>
        <v>-0.96692185398932706</v>
      </c>
      <c r="C103">
        <f t="shared" ca="1" si="3"/>
        <v>0.85831811761337129</v>
      </c>
      <c r="D103">
        <f t="shared" ca="1" si="3"/>
        <v>-0.42354376839196117</v>
      </c>
      <c r="E103">
        <f t="shared" ca="1" si="3"/>
        <v>-0.23382796513540885</v>
      </c>
    </row>
    <row r="104" spans="1:5" x14ac:dyDescent="0.25">
      <c r="A104">
        <f t="shared" ca="1" si="3"/>
        <v>1.4635452616282478</v>
      </c>
      <c r="B104">
        <f t="shared" ca="1" si="3"/>
        <v>-3.1108966655315116E-2</v>
      </c>
      <c r="C104">
        <f t="shared" ca="1" si="3"/>
        <v>-0.49672484632669117</v>
      </c>
      <c r="D104">
        <f t="shared" ca="1" si="3"/>
        <v>-0.80843237367725518</v>
      </c>
      <c r="E104">
        <f t="shared" ca="1" si="3"/>
        <v>0.99386400440581701</v>
      </c>
    </row>
    <row r="105" spans="1:5" x14ac:dyDescent="0.25">
      <c r="A105">
        <f t="shared" ca="1" si="3"/>
        <v>0.74133726589849613</v>
      </c>
      <c r="B105">
        <f t="shared" ca="1" si="3"/>
        <v>0.43197199800754948</v>
      </c>
      <c r="C105">
        <f t="shared" ca="1" si="3"/>
        <v>-1.1773694246375952</v>
      </c>
      <c r="D105">
        <f t="shared" ca="1" si="3"/>
        <v>0.40968442495326413</v>
      </c>
      <c r="E105">
        <f t="shared" ca="1" si="3"/>
        <v>0.72629965305050193</v>
      </c>
    </row>
    <row r="106" spans="1:5" x14ac:dyDescent="0.25">
      <c r="A106">
        <f t="shared" ca="1" si="3"/>
        <v>-1.8835101920735606</v>
      </c>
      <c r="B106">
        <f t="shared" ca="1" si="3"/>
        <v>1.2839584754383544</v>
      </c>
      <c r="C106">
        <f t="shared" ca="1" si="3"/>
        <v>-0.47570967625387767</v>
      </c>
      <c r="D106">
        <f t="shared" ca="1" si="3"/>
        <v>-1.3461348874446322</v>
      </c>
      <c r="E106">
        <f t="shared" ca="1" si="3"/>
        <v>1.8126469492613568</v>
      </c>
    </row>
    <row r="107" spans="1:5" x14ac:dyDescent="0.25">
      <c r="A107">
        <f t="shared" ca="1" si="3"/>
        <v>-1.3062094816801824</v>
      </c>
      <c r="B107">
        <f t="shared" ca="1" si="3"/>
        <v>0.22437346813669048</v>
      </c>
      <c r="C107">
        <f t="shared" ca="1" si="3"/>
        <v>0.58836677640391921</v>
      </c>
      <c r="D107">
        <f t="shared" ca="1" si="3"/>
        <v>-0.16004007801043735</v>
      </c>
      <c r="E107">
        <f t="shared" ca="1" si="3"/>
        <v>0.79157910811063803</v>
      </c>
    </row>
    <row r="108" spans="1:5" x14ac:dyDescent="0.25">
      <c r="A108">
        <f t="shared" ca="1" si="3"/>
        <v>-0.92297005224335305</v>
      </c>
      <c r="B108">
        <f t="shared" ca="1" si="3"/>
        <v>1.1263143384016199</v>
      </c>
      <c r="C108">
        <f t="shared" ca="1" si="3"/>
        <v>-0.88584718525187489</v>
      </c>
      <c r="D108">
        <f t="shared" ca="1" si="3"/>
        <v>-0.33305613282829216</v>
      </c>
      <c r="E108">
        <f t="shared" ca="1" si="3"/>
        <v>0.52204215255884689</v>
      </c>
    </row>
    <row r="109" spans="1:5" x14ac:dyDescent="0.25">
      <c r="A109">
        <f t="shared" ca="1" si="3"/>
        <v>-0.88157339363996656</v>
      </c>
      <c r="B109">
        <f t="shared" ca="1" si="3"/>
        <v>-1.8508994491645898</v>
      </c>
      <c r="C109">
        <f t="shared" ca="1" si="3"/>
        <v>-1.0427292314698497</v>
      </c>
      <c r="D109">
        <f t="shared" ca="1" si="3"/>
        <v>-0.70231891121324763</v>
      </c>
      <c r="E109">
        <f t="shared" ca="1" si="3"/>
        <v>-0.49070840820600931</v>
      </c>
    </row>
    <row r="110" spans="1:5" x14ac:dyDescent="0.25">
      <c r="A110">
        <f t="shared" ca="1" si="3"/>
        <v>-0.77738747775809003</v>
      </c>
      <c r="B110">
        <f t="shared" ca="1" si="3"/>
        <v>0.42891809171977735</v>
      </c>
      <c r="C110">
        <f t="shared" ca="1" si="3"/>
        <v>-1.0116502289470197</v>
      </c>
      <c r="D110">
        <f t="shared" ca="1" si="3"/>
        <v>3.5479299368828907</v>
      </c>
      <c r="E110">
        <f t="shared" ca="1" si="3"/>
        <v>0.6264266674874015</v>
      </c>
    </row>
    <row r="111" spans="1:5" x14ac:dyDescent="0.25">
      <c r="A111">
        <f t="shared" ca="1" si="3"/>
        <v>1.0078362260974292</v>
      </c>
      <c r="B111">
        <f t="shared" ca="1" si="3"/>
        <v>-0.27982190127140244</v>
      </c>
      <c r="C111">
        <f t="shared" ca="1" si="3"/>
        <v>0.14914022540795718</v>
      </c>
      <c r="D111">
        <f t="shared" ca="1" si="3"/>
        <v>1.180200815976477</v>
      </c>
      <c r="E111">
        <f t="shared" ca="1" si="3"/>
        <v>-0.4069293225704384</v>
      </c>
    </row>
    <row r="112" spans="1:5" x14ac:dyDescent="0.25">
      <c r="A112">
        <f t="shared" ca="1" si="3"/>
        <v>0.55712835000174066</v>
      </c>
      <c r="B112">
        <f t="shared" ca="1" si="3"/>
        <v>-0.50253760709746298</v>
      </c>
      <c r="C112">
        <f t="shared" ca="1" si="3"/>
        <v>2.0032696743637035</v>
      </c>
      <c r="D112">
        <f t="shared" ca="1" si="3"/>
        <v>0.82590167370669798</v>
      </c>
      <c r="E112">
        <f t="shared" ca="1" si="3"/>
        <v>0.18301974862428597</v>
      </c>
    </row>
    <row r="113" spans="1:5" x14ac:dyDescent="0.25">
      <c r="A113">
        <f t="shared" ca="1" si="3"/>
        <v>2.3659405520663501</v>
      </c>
      <c r="B113">
        <f t="shared" ca="1" si="3"/>
        <v>-0.72498539014955232</v>
      </c>
      <c r="C113">
        <f t="shared" ca="1" si="3"/>
        <v>1.2769130621890807</v>
      </c>
      <c r="D113">
        <f t="shared" ca="1" si="3"/>
        <v>-0.99093593668349944</v>
      </c>
      <c r="E113">
        <f t="shared" ca="1" si="3"/>
        <v>-0.21195379261409658</v>
      </c>
    </row>
    <row r="114" spans="1:5" x14ac:dyDescent="0.25">
      <c r="A114">
        <f t="shared" ca="1" si="3"/>
        <v>-0.48198132333282201</v>
      </c>
      <c r="B114">
        <f t="shared" ca="1" si="3"/>
        <v>-0.16973587967907386</v>
      </c>
      <c r="C114">
        <f t="shared" ca="1" si="3"/>
        <v>0.62318706662631018</v>
      </c>
      <c r="D114">
        <f t="shared" ca="1" si="3"/>
        <v>-0.97706755240156984</v>
      </c>
      <c r="E114">
        <f t="shared" ca="1" si="3"/>
        <v>-2.1632569059746434</v>
      </c>
    </row>
    <row r="115" spans="1:5" x14ac:dyDescent="0.25">
      <c r="A115">
        <f t="shared" ca="1" si="3"/>
        <v>-0.31488584580158341</v>
      </c>
      <c r="B115">
        <f t="shared" ca="1" si="3"/>
        <v>-1.3233605950908793</v>
      </c>
      <c r="C115">
        <f t="shared" ca="1" si="3"/>
        <v>-0.72154196180532093</v>
      </c>
      <c r="D115">
        <f t="shared" ca="1" si="3"/>
        <v>-0.13822621298405877</v>
      </c>
      <c r="E115">
        <f t="shared" ca="1" si="3"/>
        <v>0.15481472618005573</v>
      </c>
    </row>
    <row r="116" spans="1:5" x14ac:dyDescent="0.25">
      <c r="A116">
        <f t="shared" ca="1" si="3"/>
        <v>-1.799865472504522</v>
      </c>
      <c r="B116">
        <f t="shared" ca="1" si="3"/>
        <v>-0.23370679103582806</v>
      </c>
      <c r="C116">
        <f t="shared" ca="1" si="3"/>
        <v>-0.15973709050430215</v>
      </c>
      <c r="D116">
        <f t="shared" ca="1" si="3"/>
        <v>-0.67063343535124509</v>
      </c>
      <c r="E116">
        <f t="shared" ca="1" si="3"/>
        <v>0.34434780651257191</v>
      </c>
    </row>
    <row r="117" spans="1:5" x14ac:dyDescent="0.25">
      <c r="A117">
        <f t="shared" ca="1" si="3"/>
        <v>-0.48137970149823939</v>
      </c>
      <c r="B117">
        <f t="shared" ca="1" si="3"/>
        <v>0.26112902453751446</v>
      </c>
      <c r="C117">
        <f t="shared" ca="1" si="3"/>
        <v>0.81708272151703176</v>
      </c>
      <c r="D117">
        <f t="shared" ca="1" si="3"/>
        <v>-0.98541428296118294</v>
      </c>
      <c r="E117">
        <f t="shared" ca="1" si="3"/>
        <v>-2.1913802464896995E-3</v>
      </c>
    </row>
    <row r="118" spans="1:5" x14ac:dyDescent="0.25">
      <c r="A118">
        <f t="shared" ca="1" si="3"/>
        <v>0.67731987718360431</v>
      </c>
      <c r="B118">
        <f t="shared" ca="1" si="3"/>
        <v>-0.98998321126734978</v>
      </c>
      <c r="C118">
        <f t="shared" ca="1" si="3"/>
        <v>-0.2301425770397828</v>
      </c>
      <c r="D118">
        <f t="shared" ca="1" si="3"/>
        <v>-2.5236227344490416</v>
      </c>
      <c r="E118">
        <f t="shared" ca="1" si="3"/>
        <v>0.18393841831576066</v>
      </c>
    </row>
    <row r="119" spans="1:5" x14ac:dyDescent="0.25">
      <c r="A119">
        <f t="shared" ca="1" si="3"/>
        <v>0.40744519017079717</v>
      </c>
      <c r="B119">
        <f t="shared" ca="1" si="3"/>
        <v>-0.57293855778474889</v>
      </c>
      <c r="C119">
        <f t="shared" ca="1" si="3"/>
        <v>0.5804900021501751</v>
      </c>
      <c r="D119">
        <f t="shared" ca="1" si="3"/>
        <v>-0.30251951624597695</v>
      </c>
      <c r="E119">
        <f t="shared" ca="1" si="3"/>
        <v>1.4333577900869054</v>
      </c>
    </row>
    <row r="120" spans="1:5" x14ac:dyDescent="0.25">
      <c r="A120">
        <f t="shared" ca="1" si="3"/>
        <v>-0.46901987349287477</v>
      </c>
      <c r="B120">
        <f t="shared" ca="1" si="3"/>
        <v>-2.8523914212574488</v>
      </c>
      <c r="C120">
        <f t="shared" ca="1" si="3"/>
        <v>-1.1059972044718809</v>
      </c>
      <c r="D120">
        <f t="shared" ca="1" si="3"/>
        <v>-0.97262000401508319</v>
      </c>
      <c r="E120">
        <f t="shared" ca="1" si="3"/>
        <v>-0.82147272749311584</v>
      </c>
    </row>
    <row r="121" spans="1:5" x14ac:dyDescent="0.25">
      <c r="A121">
        <f t="shared" ca="1" si="3"/>
        <v>0.31129090727255782</v>
      </c>
      <c r="B121">
        <f t="shared" ca="1" si="3"/>
        <v>-0.19237132635679854</v>
      </c>
      <c r="C121">
        <f t="shared" ca="1" si="3"/>
        <v>-0.48021584341818518</v>
      </c>
      <c r="D121">
        <f t="shared" ca="1" si="3"/>
        <v>-1.8672409672570656E-2</v>
      </c>
      <c r="E121">
        <f t="shared" ca="1" si="3"/>
        <v>0.18999578215366775</v>
      </c>
    </row>
    <row r="122" spans="1:5" x14ac:dyDescent="0.25">
      <c r="A122">
        <f t="shared" ca="1" si="3"/>
        <v>-0.97728235011264519</v>
      </c>
      <c r="B122">
        <f t="shared" ca="1" si="3"/>
        <v>1.0504685825441633</v>
      </c>
      <c r="C122">
        <f t="shared" ca="1" si="3"/>
        <v>0.70921889597900512</v>
      </c>
      <c r="D122">
        <f t="shared" ca="1" si="3"/>
        <v>1.2743316102740621</v>
      </c>
      <c r="E122">
        <f t="shared" ca="1" si="3"/>
        <v>-0.44866573081391331</v>
      </c>
    </row>
    <row r="123" spans="1:5" x14ac:dyDescent="0.25">
      <c r="A123">
        <f t="shared" ca="1" si="3"/>
        <v>0.12168284089426913</v>
      </c>
      <c r="B123">
        <f t="shared" ca="1" si="3"/>
        <v>0.18070821082594879</v>
      </c>
      <c r="C123">
        <f t="shared" ca="1" si="3"/>
        <v>0.49289812080561402</v>
      </c>
      <c r="D123">
        <f t="shared" ca="1" si="3"/>
        <v>-0.87315602412952853</v>
      </c>
      <c r="E123">
        <f t="shared" ca="1" si="3"/>
        <v>0.14497958250251605</v>
      </c>
    </row>
    <row r="124" spans="1:5" x14ac:dyDescent="0.25">
      <c r="A124">
        <f t="shared" ca="1" si="3"/>
        <v>1.628885577816567</v>
      </c>
      <c r="B124">
        <f t="shared" ca="1" si="3"/>
        <v>1.0090122018006016</v>
      </c>
      <c r="C124">
        <f t="shared" ca="1" si="3"/>
        <v>-5.7151556595093432E-2</v>
      </c>
      <c r="D124">
        <f t="shared" ca="1" si="3"/>
        <v>0.39429915542311322</v>
      </c>
      <c r="E124">
        <f t="shared" ca="1" si="3"/>
        <v>-1.8636323023236669</v>
      </c>
    </row>
    <row r="125" spans="1:5" x14ac:dyDescent="0.25">
      <c r="A125">
        <f t="shared" ca="1" si="3"/>
        <v>-0.58257777071628569</v>
      </c>
      <c r="B125">
        <f t="shared" ca="1" si="3"/>
        <v>-1.169100963932562</v>
      </c>
      <c r="C125">
        <f t="shared" ca="1" si="3"/>
        <v>0.81047184976944564</v>
      </c>
      <c r="D125">
        <f t="shared" ca="1" si="3"/>
        <v>1.4567561300447849</v>
      </c>
      <c r="E125">
        <f t="shared" ca="1" si="3"/>
        <v>1.4162327594186381</v>
      </c>
    </row>
    <row r="126" spans="1:5" x14ac:dyDescent="0.25">
      <c r="A126">
        <f t="shared" ca="1" si="3"/>
        <v>-0.27493372408177197</v>
      </c>
      <c r="B126">
        <f t="shared" ca="1" si="3"/>
        <v>-0.23043475296567584</v>
      </c>
      <c r="C126">
        <f t="shared" ca="1" si="3"/>
        <v>0.3567358845282898</v>
      </c>
      <c r="D126">
        <f t="shared" ca="1" si="3"/>
        <v>0.68836081177758834</v>
      </c>
      <c r="E126">
        <f t="shared" ca="1" si="3"/>
        <v>-0.72697105298083986</v>
      </c>
    </row>
    <row r="127" spans="1:5" x14ac:dyDescent="0.25">
      <c r="A127">
        <f t="shared" ca="1" si="3"/>
        <v>-2.8915157235728222</v>
      </c>
      <c r="B127">
        <f t="shared" ca="1" si="3"/>
        <v>-1.3339402748011819</v>
      </c>
      <c r="C127">
        <f t="shared" ca="1" si="3"/>
        <v>-1.3591920485245093</v>
      </c>
      <c r="D127">
        <f t="shared" ca="1" si="3"/>
        <v>0.89647357893979063</v>
      </c>
      <c r="E127">
        <f t="shared" ca="1" si="3"/>
        <v>1.1865996506158163</v>
      </c>
    </row>
    <row r="128" spans="1:5" x14ac:dyDescent="0.25">
      <c r="A128">
        <f t="shared" ca="1" si="3"/>
        <v>1.6237621811257439</v>
      </c>
      <c r="B128">
        <f t="shared" ca="1" si="3"/>
        <v>-0.72637210697272137</v>
      </c>
      <c r="C128">
        <f t="shared" ca="1" si="3"/>
        <v>-0.54764621690590687</v>
      </c>
      <c r="D128">
        <f t="shared" ca="1" si="3"/>
        <v>0.21531722246646226</v>
      </c>
      <c r="E128">
        <f t="shared" ca="1" si="3"/>
        <v>7.7975269549948267E-2</v>
      </c>
    </row>
    <row r="129" spans="1:5" x14ac:dyDescent="0.25">
      <c r="A129">
        <f t="shared" ca="1" si="3"/>
        <v>0.46390054354992877</v>
      </c>
      <c r="B129">
        <f t="shared" ca="1" si="3"/>
        <v>1.4471122168644446</v>
      </c>
      <c r="C129">
        <f t="shared" ca="1" si="3"/>
        <v>1.3653761136121547</v>
      </c>
      <c r="D129">
        <f t="shared" ca="1" si="3"/>
        <v>0.10550172200333395</v>
      </c>
      <c r="E129">
        <f t="shared" ca="1" si="3"/>
        <v>-0.44197162158539466</v>
      </c>
    </row>
    <row r="130" spans="1:5" x14ac:dyDescent="0.25">
      <c r="A130">
        <f t="shared" ref="A130:E161" ca="1" si="4">NORMINV(RAND(),0,1)</f>
        <v>-2.1962923158170997</v>
      </c>
      <c r="B130">
        <f t="shared" ca="1" si="4"/>
        <v>-8.2815829111220429E-2</v>
      </c>
      <c r="C130">
        <f t="shared" ca="1" si="4"/>
        <v>0.85960942650704553</v>
      </c>
      <c r="D130">
        <f t="shared" ca="1" si="4"/>
        <v>-0.63541752316785061</v>
      </c>
      <c r="E130">
        <f t="shared" ca="1" si="4"/>
        <v>-0.39490246878838514</v>
      </c>
    </row>
    <row r="131" spans="1:5" x14ac:dyDescent="0.25">
      <c r="A131">
        <f t="shared" ca="1" si="4"/>
        <v>1.3345213370019919</v>
      </c>
      <c r="B131">
        <f t="shared" ca="1" si="4"/>
        <v>1.3746289551237665</v>
      </c>
      <c r="C131">
        <f t="shared" ca="1" si="4"/>
        <v>-0.11525684647855873</v>
      </c>
      <c r="D131">
        <f t="shared" ca="1" si="4"/>
        <v>0.2013515744752257</v>
      </c>
      <c r="E131">
        <f t="shared" ca="1" si="4"/>
        <v>0.90060935025325894</v>
      </c>
    </row>
    <row r="132" spans="1:5" x14ac:dyDescent="0.25">
      <c r="A132">
        <f t="shared" ca="1" si="4"/>
        <v>-0.22271607241680164</v>
      </c>
      <c r="B132">
        <f t="shared" ca="1" si="4"/>
        <v>1.1161740660554937</v>
      </c>
      <c r="C132">
        <f t="shared" ca="1" si="4"/>
        <v>-2.3114725463163865</v>
      </c>
      <c r="D132">
        <f t="shared" ca="1" si="4"/>
        <v>-0.63852030506139723</v>
      </c>
      <c r="E132">
        <f t="shared" ca="1" si="4"/>
        <v>-0.94399517726801896</v>
      </c>
    </row>
    <row r="133" spans="1:5" x14ac:dyDescent="0.25">
      <c r="A133">
        <f t="shared" ca="1" si="4"/>
        <v>1.0381796206203171</v>
      </c>
      <c r="B133">
        <f t="shared" ca="1" si="4"/>
        <v>-0.95585822328121539</v>
      </c>
      <c r="C133">
        <f t="shared" ca="1" si="4"/>
        <v>-1.2309576866570033</v>
      </c>
      <c r="D133">
        <f t="shared" ca="1" si="4"/>
        <v>-0.58410046259600013</v>
      </c>
      <c r="E133">
        <f t="shared" ca="1" si="4"/>
        <v>0.23925538207099323</v>
      </c>
    </row>
    <row r="134" spans="1:5" x14ac:dyDescent="0.25">
      <c r="A134">
        <f t="shared" ca="1" si="4"/>
        <v>0.59221363896066437</v>
      </c>
      <c r="B134">
        <f t="shared" ca="1" si="4"/>
        <v>-0.23638022018307486</v>
      </c>
      <c r="C134">
        <f t="shared" ca="1" si="4"/>
        <v>1.9401315097187937</v>
      </c>
      <c r="D134">
        <f t="shared" ca="1" si="4"/>
        <v>1.146631352620251</v>
      </c>
      <c r="E134">
        <f t="shared" ca="1" si="4"/>
        <v>-1.0459331357820887</v>
      </c>
    </row>
    <row r="135" spans="1:5" x14ac:dyDescent="0.25">
      <c r="A135">
        <f t="shared" ca="1" si="4"/>
        <v>-1.1828565835167557</v>
      </c>
      <c r="B135">
        <f t="shared" ca="1" si="4"/>
        <v>0.35345276550306343</v>
      </c>
      <c r="C135">
        <f t="shared" ca="1" si="4"/>
        <v>-1.2848541014442538</v>
      </c>
      <c r="D135">
        <f t="shared" ca="1" si="4"/>
        <v>-1.3720521736803768</v>
      </c>
      <c r="E135">
        <f t="shared" ca="1" si="4"/>
        <v>0.25149596529106605</v>
      </c>
    </row>
    <row r="136" spans="1:5" x14ac:dyDescent="0.25">
      <c r="A136">
        <f t="shared" ca="1" si="4"/>
        <v>-0.69352955830430951</v>
      </c>
      <c r="B136">
        <f t="shared" ca="1" si="4"/>
        <v>-1.2152302170792568</v>
      </c>
      <c r="C136">
        <f t="shared" ca="1" si="4"/>
        <v>-1.4675462647930231</v>
      </c>
      <c r="D136">
        <f t="shared" ca="1" si="4"/>
        <v>1.3024520346140922</v>
      </c>
      <c r="E136">
        <f t="shared" ca="1" si="4"/>
        <v>0.72392507793111405</v>
      </c>
    </row>
    <row r="137" spans="1:5" x14ac:dyDescent="0.25">
      <c r="A137">
        <f t="shared" ca="1" si="4"/>
        <v>1.7903969725242974</v>
      </c>
      <c r="B137">
        <f t="shared" ca="1" si="4"/>
        <v>1.6986549858245201</v>
      </c>
      <c r="C137">
        <f t="shared" ca="1" si="4"/>
        <v>1.5104869694355343</v>
      </c>
      <c r="D137">
        <f t="shared" ca="1" si="4"/>
        <v>0.43647558936947478</v>
      </c>
      <c r="E137">
        <f t="shared" ca="1" si="4"/>
        <v>0.29768125517181254</v>
      </c>
    </row>
    <row r="138" spans="1:5" x14ac:dyDescent="0.25">
      <c r="A138">
        <f t="shared" ca="1" si="4"/>
        <v>5.511989317027171E-2</v>
      </c>
      <c r="B138">
        <f t="shared" ca="1" si="4"/>
        <v>0.27867266428815424</v>
      </c>
      <c r="C138">
        <f t="shared" ca="1" si="4"/>
        <v>-0.82000678192895027</v>
      </c>
      <c r="D138">
        <f t="shared" ca="1" si="4"/>
        <v>-0.11216829153937996</v>
      </c>
      <c r="E138">
        <f t="shared" ca="1" si="4"/>
        <v>0.15398987926051019</v>
      </c>
    </row>
    <row r="139" spans="1:5" x14ac:dyDescent="0.25">
      <c r="A139">
        <f t="shared" ca="1" si="4"/>
        <v>-0.63241746692641698</v>
      </c>
      <c r="B139">
        <f t="shared" ca="1" si="4"/>
        <v>-0.66920567453697155</v>
      </c>
      <c r="C139">
        <f t="shared" ca="1" si="4"/>
        <v>1.3112292306930824</v>
      </c>
      <c r="D139">
        <f t="shared" ca="1" si="4"/>
        <v>-0.47757871256060858</v>
      </c>
      <c r="E139">
        <f t="shared" ca="1" si="4"/>
        <v>0.55468613187539251</v>
      </c>
    </row>
    <row r="140" spans="1:5" x14ac:dyDescent="0.25">
      <c r="A140">
        <f t="shared" ca="1" si="4"/>
        <v>2.4986604953266083</v>
      </c>
      <c r="B140">
        <f t="shared" ca="1" si="4"/>
        <v>0.95711723908045643</v>
      </c>
      <c r="C140">
        <f t="shared" ca="1" si="4"/>
        <v>-0.54107211078061912</v>
      </c>
      <c r="D140">
        <f t="shared" ca="1" si="4"/>
        <v>0.807146778030706</v>
      </c>
      <c r="E140">
        <f t="shared" ca="1" si="4"/>
        <v>-0.43886583123774792</v>
      </c>
    </row>
    <row r="141" spans="1:5" x14ac:dyDescent="0.25">
      <c r="A141">
        <f t="shared" ca="1" si="4"/>
        <v>-0.53638735840305996</v>
      </c>
      <c r="B141">
        <f t="shared" ca="1" si="4"/>
        <v>-1.5921935063394943</v>
      </c>
      <c r="C141">
        <f t="shared" ca="1" si="4"/>
        <v>-0.47911065193744351</v>
      </c>
      <c r="D141">
        <f t="shared" ca="1" si="4"/>
        <v>-2.5661924457565037</v>
      </c>
      <c r="E141">
        <f t="shared" ca="1" si="4"/>
        <v>-0.35569328372450454</v>
      </c>
    </row>
    <row r="142" spans="1:5" x14ac:dyDescent="0.25">
      <c r="A142">
        <f t="shared" ca="1" si="4"/>
        <v>-0.25160501868408486</v>
      </c>
      <c r="B142">
        <f t="shared" ca="1" si="4"/>
        <v>0.63280218031361923</v>
      </c>
      <c r="C142">
        <f t="shared" ca="1" si="4"/>
        <v>-0.63808057788227357</v>
      </c>
      <c r="D142">
        <f t="shared" ca="1" si="4"/>
        <v>-0.61118691782542289</v>
      </c>
      <c r="E142">
        <f t="shared" ca="1" si="4"/>
        <v>-1.1759150052438212</v>
      </c>
    </row>
    <row r="143" spans="1:5" x14ac:dyDescent="0.25">
      <c r="A143">
        <f t="shared" ca="1" si="4"/>
        <v>-0.23452076572355005</v>
      </c>
      <c r="B143">
        <f t="shared" ca="1" si="4"/>
        <v>0.57539892383598168</v>
      </c>
      <c r="C143">
        <f t="shared" ca="1" si="4"/>
        <v>-0.94777819930536622</v>
      </c>
      <c r="D143">
        <f t="shared" ca="1" si="4"/>
        <v>-0.76356829718244734</v>
      </c>
      <c r="E143">
        <f t="shared" ca="1" si="4"/>
        <v>0.96994621430928629</v>
      </c>
    </row>
    <row r="144" spans="1:5" x14ac:dyDescent="0.25">
      <c r="A144">
        <f t="shared" ca="1" si="4"/>
        <v>-1.5679375351883289</v>
      </c>
      <c r="B144">
        <f t="shared" ca="1" si="4"/>
        <v>0.33834869189493744</v>
      </c>
      <c r="C144">
        <f t="shared" ca="1" si="4"/>
        <v>-0.2482933489100205</v>
      </c>
      <c r="D144">
        <f t="shared" ca="1" si="4"/>
        <v>-0.22888334952576472</v>
      </c>
      <c r="E144">
        <f t="shared" ca="1" si="4"/>
        <v>-0.53947831389712431</v>
      </c>
    </row>
    <row r="145" spans="1:5" x14ac:dyDescent="0.25">
      <c r="A145">
        <f t="shared" ca="1" si="4"/>
        <v>1.561241406404261</v>
      </c>
      <c r="B145">
        <f t="shared" ca="1" si="4"/>
        <v>1.3877869275553891</v>
      </c>
      <c r="C145">
        <f t="shared" ca="1" si="4"/>
        <v>1.2395200448897203</v>
      </c>
      <c r="D145">
        <f t="shared" ca="1" si="4"/>
        <v>-1.9013214755951215</v>
      </c>
      <c r="E145">
        <f t="shared" ca="1" si="4"/>
        <v>0.7869637340786183</v>
      </c>
    </row>
    <row r="146" spans="1:5" x14ac:dyDescent="0.25">
      <c r="A146">
        <f t="shared" ca="1" si="4"/>
        <v>0.6754856080133973</v>
      </c>
      <c r="B146">
        <f t="shared" ca="1" si="4"/>
        <v>0.43042768644111884</v>
      </c>
      <c r="C146">
        <f t="shared" ca="1" si="4"/>
        <v>-1.3214829842547429</v>
      </c>
      <c r="D146">
        <f t="shared" ca="1" si="4"/>
        <v>0.50887841480396057</v>
      </c>
      <c r="E146">
        <f t="shared" ca="1" si="4"/>
        <v>-0.50552081869120991</v>
      </c>
    </row>
    <row r="147" spans="1:5" x14ac:dyDescent="0.25">
      <c r="A147">
        <f t="shared" ca="1" si="4"/>
        <v>-0.24220907625073762</v>
      </c>
      <c r="B147">
        <f t="shared" ca="1" si="4"/>
        <v>-0.82343933412058301</v>
      </c>
      <c r="C147">
        <f t="shared" ca="1" si="4"/>
        <v>-0.11730273734003889</v>
      </c>
      <c r="D147">
        <f t="shared" ca="1" si="4"/>
        <v>2.2869096632832346</v>
      </c>
      <c r="E147">
        <f t="shared" ca="1" si="4"/>
        <v>-0.9860589406360859</v>
      </c>
    </row>
    <row r="148" spans="1:5" x14ac:dyDescent="0.25">
      <c r="A148">
        <f t="shared" ca="1" si="4"/>
        <v>-0.45991135156829377</v>
      </c>
      <c r="B148">
        <f t="shared" ca="1" si="4"/>
        <v>2.7688900004704944E-2</v>
      </c>
      <c r="C148">
        <f t="shared" ca="1" si="4"/>
        <v>0.60870137249526501</v>
      </c>
      <c r="D148">
        <f t="shared" ca="1" si="4"/>
        <v>1.0271102650410704</v>
      </c>
      <c r="E148">
        <f t="shared" ca="1" si="4"/>
        <v>-1.5767386059602175</v>
      </c>
    </row>
    <row r="149" spans="1:5" x14ac:dyDescent="0.25">
      <c r="A149">
        <f t="shared" ca="1" si="4"/>
        <v>-1.4739574234691184</v>
      </c>
      <c r="B149">
        <f t="shared" ca="1" si="4"/>
        <v>2.6063625407328543</v>
      </c>
      <c r="C149">
        <f t="shared" ca="1" si="4"/>
        <v>1.5890276623947752</v>
      </c>
      <c r="D149">
        <f t="shared" ca="1" si="4"/>
        <v>0.50891343393104149</v>
      </c>
      <c r="E149">
        <f t="shared" ca="1" si="4"/>
        <v>-0.42527270159845337</v>
      </c>
    </row>
    <row r="150" spans="1:5" x14ac:dyDescent="0.25">
      <c r="A150">
        <f t="shared" ca="1" si="4"/>
        <v>0.70449859284479732</v>
      </c>
      <c r="B150">
        <f t="shared" ca="1" si="4"/>
        <v>2.0812099198799203E-2</v>
      </c>
      <c r="C150">
        <f t="shared" ca="1" si="4"/>
        <v>8.6988580722483125E-2</v>
      </c>
      <c r="D150">
        <f t="shared" ca="1" si="4"/>
        <v>-0.92198455235743115</v>
      </c>
      <c r="E150">
        <f t="shared" ca="1" si="4"/>
        <v>9.0765046744629665E-2</v>
      </c>
    </row>
    <row r="151" spans="1:5" x14ac:dyDescent="0.25">
      <c r="A151">
        <f t="shared" ca="1" si="4"/>
        <v>1.1490027664703359</v>
      </c>
      <c r="B151">
        <f t="shared" ca="1" si="4"/>
        <v>0.85419183365170048</v>
      </c>
      <c r="C151">
        <f t="shared" ca="1" si="4"/>
        <v>-1.5072114086926831</v>
      </c>
      <c r="D151">
        <f t="shared" ca="1" si="4"/>
        <v>0.95049247661909919</v>
      </c>
      <c r="E151">
        <f t="shared" ca="1" si="4"/>
        <v>0.82488494448767502</v>
      </c>
    </row>
    <row r="152" spans="1:5" x14ac:dyDescent="0.25">
      <c r="A152">
        <f t="shared" ca="1" si="4"/>
        <v>1.6103200802196793E-2</v>
      </c>
      <c r="B152">
        <f t="shared" ca="1" si="4"/>
        <v>1.1528763102703343</v>
      </c>
      <c r="C152">
        <f t="shared" ca="1" si="4"/>
        <v>-0.639048157333024</v>
      </c>
      <c r="D152">
        <f t="shared" ca="1" si="4"/>
        <v>0.22094180662531918</v>
      </c>
      <c r="E152">
        <f t="shared" ca="1" si="4"/>
        <v>0.66182718346652214</v>
      </c>
    </row>
    <row r="153" spans="1:5" x14ac:dyDescent="0.25">
      <c r="A153">
        <f t="shared" ca="1" si="4"/>
        <v>0.21689492910571112</v>
      </c>
      <c r="B153">
        <f t="shared" ca="1" si="4"/>
        <v>-0.32751080235881302</v>
      </c>
      <c r="C153">
        <f t="shared" ca="1" si="4"/>
        <v>-0.40795586508428661</v>
      </c>
      <c r="D153">
        <f t="shared" ca="1" si="4"/>
        <v>0.44366459908605899</v>
      </c>
      <c r="E153">
        <f t="shared" ca="1" si="4"/>
        <v>-0.98583760584209745</v>
      </c>
    </row>
    <row r="154" spans="1:5" x14ac:dyDescent="0.25">
      <c r="A154">
        <f t="shared" ca="1" si="4"/>
        <v>1.1718787759775231</v>
      </c>
      <c r="B154">
        <f t="shared" ca="1" si="4"/>
        <v>0.19580802890638302</v>
      </c>
      <c r="C154">
        <f t="shared" ca="1" si="4"/>
        <v>0.26597129179369505</v>
      </c>
      <c r="D154">
        <f t="shared" ca="1" si="4"/>
        <v>-0.64452718358430705</v>
      </c>
      <c r="E154">
        <f t="shared" ca="1" si="4"/>
        <v>-6.8835153518691197E-2</v>
      </c>
    </row>
    <row r="155" spans="1:5" x14ac:dyDescent="0.25">
      <c r="A155">
        <f t="shared" ca="1" si="4"/>
        <v>-0.82382267614322757</v>
      </c>
      <c r="B155">
        <f t="shared" ca="1" si="4"/>
        <v>0.54607328486893503</v>
      </c>
      <c r="C155">
        <f t="shared" ca="1" si="4"/>
        <v>0.10464389043486261</v>
      </c>
      <c r="D155">
        <f t="shared" ca="1" si="4"/>
        <v>-2.0355533149825527</v>
      </c>
      <c r="E155">
        <f t="shared" ca="1" si="4"/>
        <v>-0.65593709933579603</v>
      </c>
    </row>
    <row r="156" spans="1:5" x14ac:dyDescent="0.25">
      <c r="A156">
        <f t="shared" ca="1" si="4"/>
        <v>-0.66988185310601522</v>
      </c>
      <c r="B156">
        <f t="shared" ca="1" si="4"/>
        <v>-0.38346866824127845</v>
      </c>
      <c r="C156">
        <f t="shared" ca="1" si="4"/>
        <v>-0.24813546606190579</v>
      </c>
      <c r="D156">
        <f t="shared" ca="1" si="4"/>
        <v>1.0301238750101722</v>
      </c>
      <c r="E156">
        <f t="shared" ca="1" si="4"/>
        <v>0.54997798524259212</v>
      </c>
    </row>
    <row r="157" spans="1:5" x14ac:dyDescent="0.25">
      <c r="A157">
        <f t="shared" ca="1" si="4"/>
        <v>1.1186523338763334</v>
      </c>
      <c r="B157">
        <f t="shared" ca="1" si="4"/>
        <v>-2.1886310615152369</v>
      </c>
      <c r="C157">
        <f t="shared" ca="1" si="4"/>
        <v>-1.4076182022447534</v>
      </c>
      <c r="D157">
        <f t="shared" ca="1" si="4"/>
        <v>-0.8759313216921446</v>
      </c>
      <c r="E157">
        <f t="shared" ca="1" si="4"/>
        <v>-0.16175062298598755</v>
      </c>
    </row>
    <row r="158" spans="1:5" x14ac:dyDescent="0.25">
      <c r="A158">
        <f t="shared" ca="1" si="4"/>
        <v>-0.74049040764131902</v>
      </c>
      <c r="B158">
        <f t="shared" ca="1" si="4"/>
        <v>-0.81444450325956608</v>
      </c>
      <c r="C158">
        <f t="shared" ca="1" si="4"/>
        <v>-1.958916347730717</v>
      </c>
      <c r="D158">
        <f t="shared" ca="1" si="4"/>
        <v>0.53508961670283361</v>
      </c>
      <c r="E158">
        <f t="shared" ca="1" si="4"/>
        <v>0.36964333718696368</v>
      </c>
    </row>
    <row r="159" spans="1:5" x14ac:dyDescent="0.25">
      <c r="A159">
        <f t="shared" ca="1" si="4"/>
        <v>-0.45492799254449479</v>
      </c>
      <c r="B159">
        <f t="shared" ca="1" si="4"/>
        <v>0.87904375505936061</v>
      </c>
      <c r="C159">
        <f t="shared" ca="1" si="4"/>
        <v>-1.1906661088992985</v>
      </c>
      <c r="D159">
        <f t="shared" ca="1" si="4"/>
        <v>-0.18351913315982926</v>
      </c>
      <c r="E159">
        <f t="shared" ca="1" si="4"/>
        <v>-0.72422150194973867</v>
      </c>
    </row>
    <row r="160" spans="1:5" x14ac:dyDescent="0.25">
      <c r="A160">
        <f t="shared" ca="1" si="4"/>
        <v>-0.28702718802124666</v>
      </c>
      <c r="B160">
        <f t="shared" ca="1" si="4"/>
        <v>-0.44726830659827993</v>
      </c>
      <c r="C160">
        <f t="shared" ca="1" si="4"/>
        <v>0.31728740067537131</v>
      </c>
      <c r="D160">
        <f t="shared" ca="1" si="4"/>
        <v>1.8420618546034053</v>
      </c>
      <c r="E160">
        <f t="shared" ca="1" si="4"/>
        <v>0.42051188326781103</v>
      </c>
    </row>
    <row r="161" spans="1:5" x14ac:dyDescent="0.25">
      <c r="A161">
        <f t="shared" ca="1" si="4"/>
        <v>0.23649112414264659</v>
      </c>
      <c r="B161">
        <f t="shared" ca="1" si="4"/>
        <v>-1.6430638446188925</v>
      </c>
      <c r="C161">
        <f t="shared" ca="1" si="4"/>
        <v>-0.83102480528185851</v>
      </c>
      <c r="D161">
        <f t="shared" ca="1" si="4"/>
        <v>-1.4581540079419737</v>
      </c>
      <c r="E161">
        <f t="shared" ca="1" si="4"/>
        <v>-1.5062794282002043</v>
      </c>
    </row>
    <row r="162" spans="1:5" x14ac:dyDescent="0.25">
      <c r="A162">
        <f t="shared" ref="A162:E200" ca="1" si="5">NORMINV(RAND(),0,1)</f>
        <v>0.81962263612698294</v>
      </c>
      <c r="B162">
        <f t="shared" ca="1" si="5"/>
        <v>0.73599977983305709</v>
      </c>
      <c r="C162">
        <f t="shared" ca="1" si="5"/>
        <v>-0.30839085511983616</v>
      </c>
      <c r="D162">
        <f t="shared" ca="1" si="5"/>
        <v>0.80854033953539894</v>
      </c>
      <c r="E162">
        <f t="shared" ca="1" si="5"/>
        <v>-0.3671597871084894</v>
      </c>
    </row>
    <row r="163" spans="1:5" x14ac:dyDescent="0.25">
      <c r="A163">
        <f t="shared" ca="1" si="5"/>
        <v>-1.9455676777426074</v>
      </c>
      <c r="B163">
        <f t="shared" ca="1" si="5"/>
        <v>0.33135301076062806</v>
      </c>
      <c r="C163">
        <f t="shared" ca="1" si="5"/>
        <v>-0.87329940652200733</v>
      </c>
      <c r="D163">
        <f t="shared" ca="1" si="5"/>
        <v>-0.5490348861964961</v>
      </c>
      <c r="E163">
        <f t="shared" ca="1" si="5"/>
        <v>0.98449426967526799</v>
      </c>
    </row>
    <row r="164" spans="1:5" x14ac:dyDescent="0.25">
      <c r="A164">
        <f t="shared" ca="1" si="5"/>
        <v>-1.2435447509264237</v>
      </c>
      <c r="B164">
        <f t="shared" ca="1" si="5"/>
        <v>1.0261379855827346</v>
      </c>
      <c r="C164">
        <f t="shared" ca="1" si="5"/>
        <v>2.2011665165608019</v>
      </c>
      <c r="D164">
        <f t="shared" ca="1" si="5"/>
        <v>-0.53284470222470204</v>
      </c>
      <c r="E164">
        <f t="shared" ca="1" si="5"/>
        <v>0.97091220447096227</v>
      </c>
    </row>
    <row r="165" spans="1:5" x14ac:dyDescent="0.25">
      <c r="A165">
        <f t="shared" ca="1" si="5"/>
        <v>-0.50192071800633686</v>
      </c>
      <c r="B165">
        <f t="shared" ca="1" si="5"/>
        <v>1.2352926713890717</v>
      </c>
      <c r="C165">
        <f t="shared" ca="1" si="5"/>
        <v>1.0174929635056733</v>
      </c>
      <c r="D165">
        <f t="shared" ca="1" si="5"/>
        <v>-1.4964984308341167</v>
      </c>
      <c r="E165">
        <f t="shared" ca="1" si="5"/>
        <v>-1.9751196199897489</v>
      </c>
    </row>
    <row r="166" spans="1:5" x14ac:dyDescent="0.25">
      <c r="A166">
        <f t="shared" ca="1" si="5"/>
        <v>0.57337711292736726</v>
      </c>
      <c r="B166">
        <f t="shared" ca="1" si="5"/>
        <v>0.18022166094658781</v>
      </c>
      <c r="C166">
        <f t="shared" ca="1" si="5"/>
        <v>-0.2840782437162197</v>
      </c>
      <c r="D166">
        <f t="shared" ca="1" si="5"/>
        <v>-1.4356035486098038</v>
      </c>
      <c r="E166">
        <f t="shared" ca="1" si="5"/>
        <v>-0.82900793327138711</v>
      </c>
    </row>
    <row r="167" spans="1:5" x14ac:dyDescent="0.25">
      <c r="A167">
        <f t="shared" ca="1" si="5"/>
        <v>0.23867217809118857</v>
      </c>
      <c r="B167">
        <f t="shared" ca="1" si="5"/>
        <v>1.3283070702892823</v>
      </c>
      <c r="C167">
        <f t="shared" ca="1" si="5"/>
        <v>-1.0869535378804265</v>
      </c>
      <c r="D167">
        <f t="shared" ca="1" si="5"/>
        <v>-0.53216102689693601</v>
      </c>
      <c r="E167">
        <f t="shared" ca="1" si="5"/>
        <v>-0.84664928320164212</v>
      </c>
    </row>
    <row r="168" spans="1:5" x14ac:dyDescent="0.25">
      <c r="A168">
        <f t="shared" ca="1" si="5"/>
        <v>1.2678221262469125</v>
      </c>
      <c r="B168">
        <f t="shared" ca="1" si="5"/>
        <v>0.8634175289987065</v>
      </c>
      <c r="C168">
        <f t="shared" ca="1" si="5"/>
        <v>1.0810795016402406</v>
      </c>
      <c r="D168">
        <f t="shared" ca="1" si="5"/>
        <v>-0.46184742035569964</v>
      </c>
      <c r="E168">
        <f t="shared" ca="1" si="5"/>
        <v>1.6383878659200959</v>
      </c>
    </row>
    <row r="169" spans="1:5" x14ac:dyDescent="0.25">
      <c r="A169">
        <f t="shared" ca="1" si="5"/>
        <v>0.54099266334152751</v>
      </c>
      <c r="B169">
        <f t="shared" ca="1" si="5"/>
        <v>0.68740229947818843</v>
      </c>
      <c r="C169">
        <f t="shared" ca="1" si="5"/>
        <v>-0.93028337948858786</v>
      </c>
      <c r="D169">
        <f t="shared" ca="1" si="5"/>
        <v>-1.1145731317596717</v>
      </c>
      <c r="E169">
        <f t="shared" ca="1" si="5"/>
        <v>-0.60002879361117156</v>
      </c>
    </row>
    <row r="170" spans="1:5" x14ac:dyDescent="0.25">
      <c r="A170">
        <f t="shared" ca="1" si="5"/>
        <v>-0.33378526461119834</v>
      </c>
      <c r="B170">
        <f t="shared" ca="1" si="5"/>
        <v>-0.31125016288213808</v>
      </c>
      <c r="C170">
        <f t="shared" ca="1" si="5"/>
        <v>-0.99358637155565754</v>
      </c>
      <c r="D170">
        <f t="shared" ca="1" si="5"/>
        <v>1.5037344776558892</v>
      </c>
      <c r="E170">
        <f t="shared" ca="1" si="5"/>
        <v>-0.25118242228479631</v>
      </c>
    </row>
    <row r="171" spans="1:5" x14ac:dyDescent="0.25">
      <c r="A171">
        <f t="shared" ca="1" si="5"/>
        <v>0.40665550608832229</v>
      </c>
      <c r="B171">
        <f t="shared" ca="1" si="5"/>
        <v>1.7209096201054057</v>
      </c>
      <c r="C171">
        <f t="shared" ca="1" si="5"/>
        <v>-0.57893201887063916</v>
      </c>
      <c r="D171">
        <f t="shared" ca="1" si="5"/>
        <v>0.9167748573944704</v>
      </c>
      <c r="E171">
        <f t="shared" ca="1" si="5"/>
        <v>0.50177135074539503</v>
      </c>
    </row>
    <row r="172" spans="1:5" x14ac:dyDescent="0.25">
      <c r="A172">
        <f t="shared" ca="1" si="5"/>
        <v>-1.8404768248803194</v>
      </c>
      <c r="B172">
        <f t="shared" ca="1" si="5"/>
        <v>-0.92376315389212849</v>
      </c>
      <c r="C172">
        <f t="shared" ca="1" si="5"/>
        <v>0.23020680778053434</v>
      </c>
      <c r="D172">
        <f t="shared" ca="1" si="5"/>
        <v>-1.0649477472384306</v>
      </c>
      <c r="E172">
        <f t="shared" ca="1" si="5"/>
        <v>-0.72976834823602654</v>
      </c>
    </row>
    <row r="173" spans="1:5" x14ac:dyDescent="0.25">
      <c r="A173">
        <f t="shared" ca="1" si="5"/>
        <v>1.4450872319774133</v>
      </c>
      <c r="B173">
        <f t="shared" ca="1" si="5"/>
        <v>-0.27537266513311776</v>
      </c>
      <c r="C173">
        <f t="shared" ca="1" si="5"/>
        <v>-0.48015032437547583</v>
      </c>
      <c r="D173">
        <f t="shared" ca="1" si="5"/>
        <v>-0.75336842495352063</v>
      </c>
      <c r="E173">
        <f t="shared" ca="1" si="5"/>
        <v>-9.7339573252382905E-2</v>
      </c>
    </row>
    <row r="174" spans="1:5" x14ac:dyDescent="0.25">
      <c r="A174">
        <f t="shared" ca="1" si="5"/>
        <v>-1.7476990297271544</v>
      </c>
      <c r="B174">
        <f t="shared" ca="1" si="5"/>
        <v>0.88347287940036912</v>
      </c>
      <c r="C174">
        <f t="shared" ca="1" si="5"/>
        <v>-0.30652025474375816</v>
      </c>
      <c r="D174">
        <f t="shared" ca="1" si="5"/>
        <v>-0.21789787734907659</v>
      </c>
      <c r="E174">
        <f t="shared" ca="1" si="5"/>
        <v>-1.7254301132969643</v>
      </c>
    </row>
    <row r="175" spans="1:5" x14ac:dyDescent="0.25">
      <c r="A175">
        <f t="shared" ca="1" si="5"/>
        <v>-1.7867034365435588</v>
      </c>
      <c r="B175">
        <f t="shared" ca="1" si="5"/>
        <v>8.6850245140286785E-3</v>
      </c>
      <c r="C175">
        <f t="shared" ca="1" si="5"/>
        <v>0.43951524035333045</v>
      </c>
      <c r="D175">
        <f t="shared" ca="1" si="5"/>
        <v>0.21916780530831709</v>
      </c>
      <c r="E175">
        <f t="shared" ca="1" si="5"/>
        <v>-1.3206797443860452</v>
      </c>
    </row>
    <row r="176" spans="1:5" x14ac:dyDescent="0.25">
      <c r="A176">
        <f t="shared" ca="1" si="5"/>
        <v>-0.78547522647528034</v>
      </c>
      <c r="B176">
        <f t="shared" ca="1" si="5"/>
        <v>-1.2542316453831992</v>
      </c>
      <c r="C176">
        <f t="shared" ca="1" si="5"/>
        <v>0.86905376616877583</v>
      </c>
      <c r="D176">
        <f t="shared" ca="1" si="5"/>
        <v>-2.4611443053250728</v>
      </c>
      <c r="E176">
        <f t="shared" ca="1" si="5"/>
        <v>-0.12875943120384947</v>
      </c>
    </row>
    <row r="177" spans="1:5" x14ac:dyDescent="0.25">
      <c r="A177">
        <f t="shared" ca="1" si="5"/>
        <v>-0.6429938044034067</v>
      </c>
      <c r="B177">
        <f t="shared" ca="1" si="5"/>
        <v>1.3425601637245295</v>
      </c>
      <c r="C177">
        <f t="shared" ca="1" si="5"/>
        <v>1.6569584801362036</v>
      </c>
      <c r="D177">
        <f t="shared" ca="1" si="5"/>
        <v>-1.0331190879486551</v>
      </c>
      <c r="E177">
        <f t="shared" ca="1" si="5"/>
        <v>-1.1776392115720553</v>
      </c>
    </row>
    <row r="178" spans="1:5" x14ac:dyDescent="0.25">
      <c r="A178">
        <f t="shared" ca="1" si="5"/>
        <v>-0.1902778312731519</v>
      </c>
      <c r="B178">
        <f t="shared" ca="1" si="5"/>
        <v>-0.86575029196582542</v>
      </c>
      <c r="C178">
        <f t="shared" ca="1" si="5"/>
        <v>-0.62644169332715549</v>
      </c>
      <c r="D178">
        <f t="shared" ca="1" si="5"/>
        <v>0.1394589674204891</v>
      </c>
      <c r="E178">
        <f t="shared" ca="1" si="5"/>
        <v>0.29786748533592933</v>
      </c>
    </row>
    <row r="179" spans="1:5" x14ac:dyDescent="0.25">
      <c r="A179">
        <f t="shared" ca="1" si="5"/>
        <v>-0.43371176042984561</v>
      </c>
      <c r="B179">
        <f t="shared" ca="1" si="5"/>
        <v>1.3794667111251999</v>
      </c>
      <c r="C179">
        <f t="shared" ca="1" si="5"/>
        <v>0.1158038022663806</v>
      </c>
      <c r="D179">
        <f t="shared" ca="1" si="5"/>
        <v>-0.46591931988997554</v>
      </c>
      <c r="E179">
        <f t="shared" ca="1" si="5"/>
        <v>-1.1733280038032865</v>
      </c>
    </row>
    <row r="180" spans="1:5" x14ac:dyDescent="0.25">
      <c r="A180">
        <f t="shared" ca="1" si="5"/>
        <v>-1.3450316996134732</v>
      </c>
      <c r="B180">
        <f t="shared" ca="1" si="5"/>
        <v>0.28412480549717589</v>
      </c>
      <c r="C180">
        <f t="shared" ca="1" si="5"/>
        <v>-1.2811437536344965</v>
      </c>
      <c r="D180">
        <f t="shared" ca="1" si="5"/>
        <v>1.1038034766731422</v>
      </c>
      <c r="E180">
        <f t="shared" ca="1" si="5"/>
        <v>-0.32824759528582109</v>
      </c>
    </row>
    <row r="181" spans="1:5" x14ac:dyDescent="0.25">
      <c r="A181">
        <f t="shared" ca="1" si="5"/>
        <v>-0.17570107888407621</v>
      </c>
      <c r="B181">
        <f t="shared" ca="1" si="5"/>
        <v>-0.43002040206521303</v>
      </c>
      <c r="C181">
        <f t="shared" ca="1" si="5"/>
        <v>-0.52461538670033592</v>
      </c>
      <c r="D181">
        <f t="shared" ca="1" si="5"/>
        <v>0.51171471780988242</v>
      </c>
      <c r="E181">
        <f t="shared" ca="1" si="5"/>
        <v>1.290028655184549</v>
      </c>
    </row>
    <row r="182" spans="1:5" x14ac:dyDescent="0.25">
      <c r="A182">
        <f t="shared" ca="1" si="5"/>
        <v>1.1763252860551681</v>
      </c>
      <c r="B182">
        <f t="shared" ca="1" si="5"/>
        <v>-1.1480626542821646</v>
      </c>
      <c r="C182">
        <f t="shared" ca="1" si="5"/>
        <v>1.0269590245058624</v>
      </c>
      <c r="D182">
        <f t="shared" ca="1" si="5"/>
        <v>0.27045390056507973</v>
      </c>
      <c r="E182">
        <f t="shared" ca="1" si="5"/>
        <v>0.478638378562803</v>
      </c>
    </row>
    <row r="183" spans="1:5" x14ac:dyDescent="0.25">
      <c r="A183">
        <f t="shared" ca="1" si="5"/>
        <v>-0.38199272090545433</v>
      </c>
      <c r="B183">
        <f t="shared" ca="1" si="5"/>
        <v>-0.50508684382816038</v>
      </c>
      <c r="C183">
        <f t="shared" ca="1" si="5"/>
        <v>2.660294732906086E-2</v>
      </c>
      <c r="D183">
        <f t="shared" ca="1" si="5"/>
        <v>-1.0561289111485925</v>
      </c>
      <c r="E183">
        <f t="shared" ca="1" si="5"/>
        <v>-1.0156429492116463</v>
      </c>
    </row>
    <row r="184" spans="1:5" x14ac:dyDescent="0.25">
      <c r="A184">
        <f t="shared" ca="1" si="5"/>
        <v>0.85139443036093698</v>
      </c>
      <c r="B184">
        <f t="shared" ca="1" si="5"/>
        <v>-0.2742826386439618</v>
      </c>
      <c r="C184">
        <f t="shared" ca="1" si="5"/>
        <v>-0.53823457554633036</v>
      </c>
      <c r="D184">
        <f t="shared" ca="1" si="5"/>
        <v>0.35240532248058121</v>
      </c>
      <c r="E184">
        <f t="shared" ca="1" si="5"/>
        <v>-1.2645341983457443</v>
      </c>
    </row>
    <row r="185" spans="1:5" x14ac:dyDescent="0.25">
      <c r="A185">
        <f t="shared" ca="1" si="5"/>
        <v>-0.35361663810579291</v>
      </c>
      <c r="B185">
        <f t="shared" ca="1" si="5"/>
        <v>-0.83226067594475983</v>
      </c>
      <c r="C185">
        <f t="shared" ca="1" si="5"/>
        <v>-0.54564379206215874</v>
      </c>
      <c r="D185">
        <f t="shared" ca="1" si="5"/>
        <v>-0.469539329734732</v>
      </c>
      <c r="E185">
        <f t="shared" ca="1" si="5"/>
        <v>-1.6025831110535005</v>
      </c>
    </row>
    <row r="186" spans="1:5" x14ac:dyDescent="0.25">
      <c r="A186">
        <f t="shared" ca="1" si="5"/>
        <v>0.30118826602367527</v>
      </c>
      <c r="B186">
        <f t="shared" ca="1" si="5"/>
        <v>-1.2378396078972278</v>
      </c>
      <c r="C186">
        <f t="shared" ca="1" si="5"/>
        <v>-0.6363599418594833</v>
      </c>
      <c r="D186">
        <f t="shared" ca="1" si="5"/>
        <v>-0.33067465887030784</v>
      </c>
      <c r="E186">
        <f t="shared" ca="1" si="5"/>
        <v>0.347827398070297</v>
      </c>
    </row>
    <row r="187" spans="1:5" x14ac:dyDescent="0.25">
      <c r="A187">
        <f t="shared" ca="1" si="5"/>
        <v>-0.31889184118569491</v>
      </c>
      <c r="B187">
        <f t="shared" ca="1" si="5"/>
        <v>2.7836481675063498E-2</v>
      </c>
      <c r="C187">
        <f t="shared" ca="1" si="5"/>
        <v>0.24286632016640816</v>
      </c>
      <c r="D187">
        <f t="shared" ca="1" si="5"/>
        <v>-1.8039504297338611</v>
      </c>
      <c r="E187">
        <f t="shared" ca="1" si="5"/>
        <v>-0.9456356464550385</v>
      </c>
    </row>
    <row r="188" spans="1:5" x14ac:dyDescent="0.25">
      <c r="A188">
        <f t="shared" ca="1" si="5"/>
        <v>0.40298366857386242</v>
      </c>
      <c r="B188">
        <f t="shared" ca="1" si="5"/>
        <v>0.11893849031059289</v>
      </c>
      <c r="C188">
        <f t="shared" ca="1" si="5"/>
        <v>-2.5597419575810213E-3</v>
      </c>
      <c r="D188">
        <f t="shared" ca="1" si="5"/>
        <v>-0.77477660423555705</v>
      </c>
      <c r="E188">
        <f t="shared" ca="1" si="5"/>
        <v>1.5756882249503048</v>
      </c>
    </row>
    <row r="189" spans="1:5" x14ac:dyDescent="0.25">
      <c r="A189">
        <f t="shared" ca="1" si="5"/>
        <v>-1.6515369931899877</v>
      </c>
      <c r="B189">
        <f t="shared" ca="1" si="5"/>
        <v>1.036727587796884</v>
      </c>
      <c r="C189">
        <f t="shared" ca="1" si="5"/>
        <v>-0.74956762629714169</v>
      </c>
      <c r="D189">
        <f t="shared" ca="1" si="5"/>
        <v>-1.1102486106631593</v>
      </c>
      <c r="E189">
        <f t="shared" ca="1" si="5"/>
        <v>-0.21758650060015974</v>
      </c>
    </row>
    <row r="190" spans="1:5" x14ac:dyDescent="0.25">
      <c r="A190">
        <f t="shared" ca="1" si="5"/>
        <v>0.16669701407636633</v>
      </c>
      <c r="B190">
        <f t="shared" ca="1" si="5"/>
        <v>0.8720453243149513</v>
      </c>
      <c r="C190">
        <f t="shared" ca="1" si="5"/>
        <v>-0.62345639329624503</v>
      </c>
      <c r="D190">
        <f t="shared" ca="1" si="5"/>
        <v>-0.81487760749981542</v>
      </c>
      <c r="E190">
        <f t="shared" ca="1" si="5"/>
        <v>-0.67230429701098193</v>
      </c>
    </row>
    <row r="191" spans="1:5" x14ac:dyDescent="0.25">
      <c r="A191">
        <f t="shared" ca="1" si="5"/>
        <v>1.7618267916112162</v>
      </c>
      <c r="B191">
        <f t="shared" ca="1" si="5"/>
        <v>-0.71475103753652758</v>
      </c>
      <c r="C191">
        <f t="shared" ca="1" si="5"/>
        <v>0.92790411413263663</v>
      </c>
      <c r="D191">
        <f t="shared" ca="1" si="5"/>
        <v>-0.19171914419211203</v>
      </c>
      <c r="E191">
        <f t="shared" ca="1" si="5"/>
        <v>9.3980320011423282E-3</v>
      </c>
    </row>
    <row r="192" spans="1:5" x14ac:dyDescent="0.25">
      <c r="A192">
        <f t="shared" ca="1" si="5"/>
        <v>-0.9380666383147056</v>
      </c>
      <c r="B192">
        <f t="shared" ca="1" si="5"/>
        <v>-8.4982156125783817E-2</v>
      </c>
      <c r="C192">
        <f t="shared" ca="1" si="5"/>
        <v>-0.32673580648689743</v>
      </c>
      <c r="D192">
        <f t="shared" ca="1" si="5"/>
        <v>0.65913863098369907</v>
      </c>
      <c r="E192">
        <f t="shared" ca="1" si="5"/>
        <v>-8.0607621196234464E-2</v>
      </c>
    </row>
    <row r="193" spans="1:5" x14ac:dyDescent="0.25">
      <c r="A193">
        <f t="shared" ca="1" si="5"/>
        <v>8.5545254494348855E-2</v>
      </c>
      <c r="B193">
        <f t="shared" ca="1" si="5"/>
        <v>1.0333529508948769</v>
      </c>
      <c r="C193">
        <f t="shared" ca="1" si="5"/>
        <v>1.7919342917022507</v>
      </c>
      <c r="D193">
        <f t="shared" ca="1" si="5"/>
        <v>-2.534778803121839</v>
      </c>
      <c r="E193">
        <f t="shared" ca="1" si="5"/>
        <v>-1.6216938416837992</v>
      </c>
    </row>
    <row r="194" spans="1:5" x14ac:dyDescent="0.25">
      <c r="A194">
        <f t="shared" ca="1" si="5"/>
        <v>-0.39596923405655671</v>
      </c>
      <c r="B194">
        <f t="shared" ca="1" si="5"/>
        <v>0.24658396739290103</v>
      </c>
      <c r="C194">
        <f t="shared" ca="1" si="5"/>
        <v>-1.2198231747760557</v>
      </c>
      <c r="D194">
        <f t="shared" ca="1" si="5"/>
        <v>-0.57396867505003291</v>
      </c>
      <c r="E194">
        <f t="shared" ca="1" si="5"/>
        <v>-1.4090437166578471</v>
      </c>
    </row>
    <row r="195" spans="1:5" x14ac:dyDescent="0.25">
      <c r="A195">
        <f t="shared" ca="1" si="5"/>
        <v>-1.6359051918963909</v>
      </c>
      <c r="B195">
        <f t="shared" ca="1" si="5"/>
        <v>-8.9469380651596622E-3</v>
      </c>
      <c r="C195">
        <f t="shared" ca="1" si="5"/>
        <v>-0.36017711256080182</v>
      </c>
      <c r="D195">
        <f t="shared" ca="1" si="5"/>
        <v>-0.24834941547938302</v>
      </c>
      <c r="E195">
        <f t="shared" ca="1" si="5"/>
        <v>0.51278375607732718</v>
      </c>
    </row>
    <row r="196" spans="1:5" x14ac:dyDescent="0.25">
      <c r="A196">
        <f t="shared" ca="1" si="5"/>
        <v>0.42515074209112763</v>
      </c>
      <c r="B196">
        <f t="shared" ca="1" si="5"/>
        <v>0.82898714548764896</v>
      </c>
      <c r="C196">
        <f t="shared" ca="1" si="5"/>
        <v>-1.0105267142541683</v>
      </c>
      <c r="D196">
        <f t="shared" ca="1" si="5"/>
        <v>1.3016658560024217</v>
      </c>
      <c r="E196">
        <f t="shared" ca="1" si="5"/>
        <v>-0.36442213194641465</v>
      </c>
    </row>
    <row r="197" spans="1:5" x14ac:dyDescent="0.25">
      <c r="A197">
        <f t="shared" ca="1" si="5"/>
        <v>0.26161907343247504</v>
      </c>
      <c r="B197">
        <f t="shared" ca="1" si="5"/>
        <v>-0.90223259469256856</v>
      </c>
      <c r="C197">
        <f t="shared" ca="1" si="5"/>
        <v>-1.972712321410816</v>
      </c>
      <c r="D197">
        <f t="shared" ca="1" si="5"/>
        <v>0.84651665984613389</v>
      </c>
      <c r="E197">
        <f t="shared" ca="1" si="5"/>
        <v>-1.3136507991239952</v>
      </c>
    </row>
    <row r="198" spans="1:5" x14ac:dyDescent="0.25">
      <c r="A198">
        <f t="shared" ca="1" si="5"/>
        <v>-1.9392770529981038E-2</v>
      </c>
      <c r="B198">
        <f t="shared" ca="1" si="5"/>
        <v>-0.35054629356545863</v>
      </c>
      <c r="C198">
        <f t="shared" ca="1" si="5"/>
        <v>0.31575361166309196</v>
      </c>
      <c r="D198">
        <f t="shared" ca="1" si="5"/>
        <v>-0.91397143032210437</v>
      </c>
      <c r="E198">
        <f t="shared" ca="1" si="5"/>
        <v>0.8098660800230425</v>
      </c>
    </row>
    <row r="199" spans="1:5" x14ac:dyDescent="0.25">
      <c r="A199">
        <f t="shared" ca="1" si="5"/>
        <v>-0.402123468925424</v>
      </c>
      <c r="B199">
        <f t="shared" ca="1" si="5"/>
        <v>0.8405945350191949</v>
      </c>
      <c r="C199">
        <f t="shared" ca="1" si="5"/>
        <v>-0.13469691541331116</v>
      </c>
      <c r="D199">
        <f t="shared" ca="1" si="5"/>
        <v>-0.3264262490002609</v>
      </c>
      <c r="E199">
        <f t="shared" ca="1" si="5"/>
        <v>1.8665009070812761</v>
      </c>
    </row>
    <row r="200" spans="1:5" x14ac:dyDescent="0.25">
      <c r="A200">
        <f t="shared" ca="1" si="5"/>
        <v>0.54511245634221039</v>
      </c>
      <c r="B200">
        <f t="shared" ca="1" si="5"/>
        <v>-9.9129088747483621E-2</v>
      </c>
      <c r="C200">
        <f t="shared" ca="1" si="5"/>
        <v>2.3252271740596239E-2</v>
      </c>
      <c r="D200">
        <f t="shared" ca="1" si="5"/>
        <v>1.9356227054938433</v>
      </c>
      <c r="E200">
        <f t="shared" ca="1" si="5"/>
        <v>0.95485126119369845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00"/>
  <sheetViews>
    <sheetView workbookViewId="0"/>
  </sheetViews>
  <sheetFormatPr defaultRowHeight="15.75" x14ac:dyDescent="0.25"/>
  <sheetData>
    <row r="1" spans="1:5" x14ac:dyDescent="0.25">
      <c r="A1">
        <f t="array" aca="1" ref="A1:E200" ca="1">_xll.Virtufin.CreditExposure.Multiply('Uncorrelated Normal Rand'!A1:E200,Spectral!G43:K47)</f>
        <v>0.51153661831722019</v>
      </c>
      <c r="B1">
        <f ca="1"/>
        <v>0.97642369224393255</v>
      </c>
      <c r="C1">
        <f ca="1"/>
        <v>-0.61014329047226534</v>
      </c>
      <c r="D1">
        <f ca="1"/>
        <v>0.58194718950326474</v>
      </c>
      <c r="E1">
        <f ca="1"/>
        <v>0.12990284864988885</v>
      </c>
    </row>
    <row r="2" spans="1:5" x14ac:dyDescent="0.25">
      <c r="A2">
        <f ca="1"/>
        <v>3.3128342427338239E-2</v>
      </c>
      <c r="B2">
        <f ca="1"/>
        <v>0.31749487044034574</v>
      </c>
      <c r="C2">
        <f ca="1"/>
        <v>-0.32473973362518305</v>
      </c>
      <c r="D2">
        <f ca="1"/>
        <v>-0.39855412020160375</v>
      </c>
      <c r="E2">
        <f ca="1"/>
        <v>1.2093376839590029</v>
      </c>
    </row>
    <row r="3" spans="1:5" x14ac:dyDescent="0.25">
      <c r="A3">
        <f ca="1"/>
        <v>-0.55422447134683039</v>
      </c>
      <c r="B3">
        <f ca="1"/>
        <v>-0.75060234333741949</v>
      </c>
      <c r="C3">
        <f ca="1"/>
        <v>0.31632940021535283</v>
      </c>
      <c r="D3">
        <f ca="1"/>
        <v>9.4881892544454505E-2</v>
      </c>
      <c r="E3">
        <f ca="1"/>
        <v>0.22564441643592398</v>
      </c>
    </row>
    <row r="4" spans="1:5" x14ac:dyDescent="0.25">
      <c r="A4">
        <f ca="1"/>
        <v>0.20192577758536773</v>
      </c>
      <c r="B4">
        <f ca="1"/>
        <v>0.34855334755405026</v>
      </c>
      <c r="C4">
        <f ca="1"/>
        <v>-0.19947449591349398</v>
      </c>
      <c r="D4">
        <f ca="1"/>
        <v>-0.64604428340754638</v>
      </c>
      <c r="E4">
        <f ca="1"/>
        <v>0.52820475550742629</v>
      </c>
    </row>
    <row r="5" spans="1:5" x14ac:dyDescent="0.25">
      <c r="A5">
        <f ca="1"/>
        <v>-0.13198514029585368</v>
      </c>
      <c r="B5">
        <f ca="1"/>
        <v>0.513472236413133</v>
      </c>
      <c r="C5">
        <f ca="1"/>
        <v>-0.70119707838751677</v>
      </c>
      <c r="D5">
        <f ca="1"/>
        <v>0.2911163511087238</v>
      </c>
      <c r="E5">
        <f ca="1"/>
        <v>1.0289794741797336</v>
      </c>
    </row>
    <row r="6" spans="1:5" x14ac:dyDescent="0.25">
      <c r="A6">
        <f ca="1"/>
        <v>0.43366339082510036</v>
      </c>
      <c r="B6">
        <f ca="1"/>
        <v>1.0964614196786933</v>
      </c>
      <c r="C6">
        <f ca="1"/>
        <v>-0.81866397820134817</v>
      </c>
      <c r="D6">
        <f ca="1"/>
        <v>7.0596174369554177E-2</v>
      </c>
      <c r="E6">
        <f ca="1"/>
        <v>0.72940138020495704</v>
      </c>
    </row>
    <row r="7" spans="1:5" x14ac:dyDescent="0.25">
      <c r="A7">
        <f ca="1"/>
        <v>0.54753498081748353</v>
      </c>
      <c r="B7">
        <f ca="1"/>
        <v>0.59141790453610699</v>
      </c>
      <c r="C7">
        <f ca="1"/>
        <v>-0.14410305948530008</v>
      </c>
      <c r="D7">
        <f ca="1"/>
        <v>0.73244581358538929</v>
      </c>
      <c r="E7">
        <f ca="1"/>
        <v>0.86166753037517752</v>
      </c>
    </row>
    <row r="8" spans="1:5" x14ac:dyDescent="0.25">
      <c r="A8">
        <f ca="1"/>
        <v>-0.23631699507280463</v>
      </c>
      <c r="B8">
        <f ca="1"/>
        <v>-1.1744500246630984</v>
      </c>
      <c r="C8">
        <f ca="1"/>
        <v>1.093336082028995</v>
      </c>
      <c r="D8">
        <f ca="1"/>
        <v>-0.38110752447737695</v>
      </c>
      <c r="E8">
        <f ca="1"/>
        <v>-5.5469422588043861E-2</v>
      </c>
    </row>
    <row r="9" spans="1:5" x14ac:dyDescent="0.25">
      <c r="A9">
        <f ca="1"/>
        <v>-0.43246196816427018</v>
      </c>
      <c r="B9">
        <f ca="1"/>
        <v>-0.39466138742359791</v>
      </c>
      <c r="C9">
        <f ca="1"/>
        <v>3.2531778383665694E-2</v>
      </c>
      <c r="D9">
        <f ca="1"/>
        <v>-0.30838725507818476</v>
      </c>
      <c r="E9">
        <f ca="1"/>
        <v>2.4212238647816204E-2</v>
      </c>
    </row>
    <row r="10" spans="1:5" x14ac:dyDescent="0.25">
      <c r="A10">
        <f ca="1"/>
        <v>5.9598003635718599E-2</v>
      </c>
      <c r="B10">
        <f ca="1"/>
        <v>-0.23719859558021889</v>
      </c>
      <c r="C10">
        <f ca="1"/>
        <v>0.32261623573342257</v>
      </c>
      <c r="D10">
        <f ca="1"/>
        <v>-0.67898416754971791</v>
      </c>
      <c r="E10">
        <f ca="1"/>
        <v>0.58265509291352913</v>
      </c>
    </row>
    <row r="11" spans="1:5" x14ac:dyDescent="0.25">
      <c r="A11">
        <f ca="1"/>
        <v>-1.0649037509964987</v>
      </c>
      <c r="B11">
        <f ca="1"/>
        <v>-0.45100607768021567</v>
      </c>
      <c r="C11">
        <f ca="1"/>
        <v>-0.50413964197563488</v>
      </c>
      <c r="D11">
        <f ca="1"/>
        <v>-0.35699612703986905</v>
      </c>
      <c r="E11">
        <f ca="1"/>
        <v>0.44996739022991522</v>
      </c>
    </row>
    <row r="12" spans="1:5" x14ac:dyDescent="0.25">
      <c r="A12">
        <f ca="1"/>
        <v>3.2786045014437104E-2</v>
      </c>
      <c r="B12">
        <f ca="1"/>
        <v>0.42036185913469359</v>
      </c>
      <c r="C12">
        <f ca="1"/>
        <v>-0.44045949331628975</v>
      </c>
      <c r="D12">
        <f ca="1"/>
        <v>0.80370335604174281</v>
      </c>
      <c r="E12">
        <f ca="1"/>
        <v>0.29383464758868783</v>
      </c>
    </row>
    <row r="13" spans="1:5" x14ac:dyDescent="0.25">
      <c r="A13">
        <f ca="1"/>
        <v>0.28357636379756668</v>
      </c>
      <c r="B13">
        <f ca="1"/>
        <v>-7.0155381148960555E-2</v>
      </c>
      <c r="C13">
        <f ca="1"/>
        <v>0.34767499169540395</v>
      </c>
      <c r="D13">
        <f ca="1"/>
        <v>0.53498969112174266</v>
      </c>
      <c r="E13">
        <f ca="1"/>
        <v>0.50558221979977647</v>
      </c>
    </row>
    <row r="14" spans="1:5" x14ac:dyDescent="0.25">
      <c r="A14">
        <f ca="1"/>
        <v>-0.25865104715940623</v>
      </c>
      <c r="B14">
        <f ca="1"/>
        <v>-0.40676701541226645</v>
      </c>
      <c r="C14">
        <f ca="1"/>
        <v>0.21097339597660905</v>
      </c>
      <c r="D14">
        <f ca="1"/>
        <v>0.52157835464378444</v>
      </c>
      <c r="E14">
        <f ca="1"/>
        <v>-0.75369187502028501</v>
      </c>
    </row>
    <row r="15" spans="1:5" x14ac:dyDescent="0.25">
      <c r="A15">
        <f ca="1"/>
        <v>3.3431512185667089E-2</v>
      </c>
      <c r="B15">
        <f ca="1"/>
        <v>0.55627023145942145</v>
      </c>
      <c r="C15">
        <f ca="1"/>
        <v>-0.59230781739014904</v>
      </c>
      <c r="D15">
        <f ca="1"/>
        <v>-0.26392786079118041</v>
      </c>
      <c r="E15">
        <f ca="1"/>
        <v>0.54474550768474561</v>
      </c>
    </row>
    <row r="16" spans="1:5" x14ac:dyDescent="0.25">
      <c r="A16">
        <f ca="1"/>
        <v>-8.6719198564904829E-2</v>
      </c>
      <c r="B16">
        <f ca="1"/>
        <v>5.6249362260731205E-2</v>
      </c>
      <c r="C16">
        <f ca="1"/>
        <v>-0.14535408767238689</v>
      </c>
      <c r="D16">
        <f ca="1"/>
        <v>-0.31592072005252425</v>
      </c>
      <c r="E16">
        <f ca="1"/>
        <v>-0.8073984158472608</v>
      </c>
    </row>
    <row r="17" spans="1:5" x14ac:dyDescent="0.25">
      <c r="A17">
        <f ca="1"/>
        <v>0.18558393034226175</v>
      </c>
      <c r="B17">
        <f ca="1"/>
        <v>0.25039077299636853</v>
      </c>
      <c r="C17">
        <f ca="1"/>
        <v>-0.10485720035748919</v>
      </c>
      <c r="D17">
        <f ca="1"/>
        <v>-0.55640408487459359</v>
      </c>
      <c r="E17">
        <f ca="1"/>
        <v>1.119764114921628</v>
      </c>
    </row>
    <row r="18" spans="1:5" x14ac:dyDescent="0.25">
      <c r="A18">
        <f ca="1"/>
        <v>0.19848965623585479</v>
      </c>
      <c r="B18">
        <f ca="1"/>
        <v>0.6804352897305368</v>
      </c>
      <c r="C18">
        <f ca="1"/>
        <v>-0.57503530619857079</v>
      </c>
      <c r="D18">
        <f ca="1"/>
        <v>-0.58647461722763938</v>
      </c>
      <c r="E18">
        <f ca="1"/>
        <v>-0.41735957646917016</v>
      </c>
    </row>
    <row r="19" spans="1:5" x14ac:dyDescent="0.25">
      <c r="A19">
        <f ca="1"/>
        <v>-0.35695994047299751</v>
      </c>
      <c r="B19">
        <f ca="1"/>
        <v>-1.046728159546678</v>
      </c>
      <c r="C19">
        <f ca="1"/>
        <v>0.83562784253118461</v>
      </c>
      <c r="D19">
        <f ca="1"/>
        <v>-0.21512770745742024</v>
      </c>
      <c r="E19">
        <f ca="1"/>
        <v>1.7407044005197567</v>
      </c>
    </row>
    <row r="20" spans="1:5" x14ac:dyDescent="0.25">
      <c r="A20">
        <f ca="1"/>
        <v>-2.813020081527657E-2</v>
      </c>
      <c r="B20">
        <f ca="1"/>
        <v>-1.9017258288009986E-2</v>
      </c>
      <c r="C20">
        <f ca="1"/>
        <v>-5.3484616175351676E-3</v>
      </c>
      <c r="D20">
        <f ca="1"/>
        <v>-0.15264708552031997</v>
      </c>
      <c r="E20">
        <f ca="1"/>
        <v>-0.59508329136719285</v>
      </c>
    </row>
    <row r="21" spans="1:5" x14ac:dyDescent="0.25">
      <c r="A21">
        <f ca="1"/>
        <v>-4.521816438251669E-3</v>
      </c>
      <c r="B21">
        <f ca="1"/>
        <v>-0.49903204036324267</v>
      </c>
      <c r="C21">
        <f ca="1"/>
        <v>0.55551980565180392</v>
      </c>
      <c r="D21">
        <f ca="1"/>
        <v>0.57667664546558084</v>
      </c>
      <c r="E21">
        <f ca="1"/>
        <v>0.92583250811237972</v>
      </c>
    </row>
    <row r="22" spans="1:5" x14ac:dyDescent="0.25">
      <c r="A22">
        <f ca="1"/>
        <v>-2.5963023909431671E-2</v>
      </c>
      <c r="B22">
        <f ca="1"/>
        <v>-0.43896870646252362</v>
      </c>
      <c r="C22">
        <f ca="1"/>
        <v>0.46780416928958468</v>
      </c>
      <c r="D22">
        <f ca="1"/>
        <v>0.96594164476114619</v>
      </c>
      <c r="E22">
        <f ca="1"/>
        <v>1.7953466101058466</v>
      </c>
    </row>
    <row r="23" spans="1:5" x14ac:dyDescent="0.25">
      <c r="A23">
        <f ca="1"/>
        <v>-0.37631803307192319</v>
      </c>
      <c r="B23">
        <f ca="1"/>
        <v>0.31843924278686547</v>
      </c>
      <c r="C23">
        <f ca="1"/>
        <v>-0.71416370752566094</v>
      </c>
      <c r="D23">
        <f ca="1"/>
        <v>0.12754612791747266</v>
      </c>
      <c r="E23">
        <f ca="1"/>
        <v>0.33975587098220222</v>
      </c>
    </row>
    <row r="24" spans="1:5" x14ac:dyDescent="0.25">
      <c r="A24">
        <f ca="1"/>
        <v>-0.10390168884569384</v>
      </c>
      <c r="B24">
        <f ca="1"/>
        <v>-1.0439203494204812</v>
      </c>
      <c r="C24">
        <f ca="1"/>
        <v>1.0725067276632601</v>
      </c>
      <c r="D24">
        <f ca="1"/>
        <v>-0.50644591706717634</v>
      </c>
      <c r="E24">
        <f ca="1"/>
        <v>-0.24751666204938658</v>
      </c>
    </row>
    <row r="25" spans="1:5" x14ac:dyDescent="0.25">
      <c r="A25">
        <f ca="1"/>
        <v>1.1370273788185805</v>
      </c>
      <c r="B25">
        <f ca="1"/>
        <v>1.4801430488857548</v>
      </c>
      <c r="C25">
        <f ca="1"/>
        <v>-0.58192510592560276</v>
      </c>
      <c r="D25">
        <f ca="1"/>
        <v>0.86663574668633492</v>
      </c>
      <c r="E25">
        <f ca="1"/>
        <v>-0.62210316676691779</v>
      </c>
    </row>
    <row r="26" spans="1:5" x14ac:dyDescent="0.25">
      <c r="A26">
        <f ca="1"/>
        <v>-0.12069114980947779</v>
      </c>
      <c r="B26">
        <f ca="1"/>
        <v>1.2336369053974934E-2</v>
      </c>
      <c r="C26">
        <f ca="1"/>
        <v>-0.12831574771997756</v>
      </c>
      <c r="D26">
        <f ca="1"/>
        <v>4.2228127395003923E-2</v>
      </c>
      <c r="E26">
        <f ca="1"/>
        <v>-0.3078877452904496</v>
      </c>
    </row>
    <row r="27" spans="1:5" x14ac:dyDescent="0.25">
      <c r="A27">
        <f ca="1"/>
        <v>-0.60348924133717474</v>
      </c>
      <c r="B27">
        <f ca="1"/>
        <v>-0.4991934900646911</v>
      </c>
      <c r="C27">
        <f ca="1"/>
        <v>-1.2426559742662725E-2</v>
      </c>
      <c r="D27">
        <f ca="1"/>
        <v>-0.63693599816631929</v>
      </c>
      <c r="E27">
        <f ca="1"/>
        <v>-5.1029059204883043E-2</v>
      </c>
    </row>
    <row r="28" spans="1:5" x14ac:dyDescent="0.25">
      <c r="A28">
        <f ca="1"/>
        <v>-0.20347670917245492</v>
      </c>
      <c r="B28">
        <f ca="1"/>
        <v>-0.2277392242534631</v>
      </c>
      <c r="C28">
        <f ca="1"/>
        <v>6.2475429367841701E-2</v>
      </c>
      <c r="D28">
        <f ca="1"/>
        <v>0.46905049300942891</v>
      </c>
      <c r="E28">
        <f ca="1"/>
        <v>0.28223440825714907</v>
      </c>
    </row>
    <row r="29" spans="1:5" x14ac:dyDescent="0.25">
      <c r="A29">
        <f ca="1"/>
        <v>9.2599915960901169E-2</v>
      </c>
      <c r="B29">
        <f ca="1"/>
        <v>-0.21432595455397663</v>
      </c>
      <c r="C29">
        <f ca="1"/>
        <v>0.32826064455787002</v>
      </c>
      <c r="D29">
        <f ca="1"/>
        <v>-0.93453755992033605</v>
      </c>
      <c r="E29">
        <f ca="1"/>
        <v>-1.3046180471614606</v>
      </c>
    </row>
    <row r="30" spans="1:5" x14ac:dyDescent="0.25">
      <c r="A30">
        <f ca="1"/>
        <v>-0.18453418984074871</v>
      </c>
      <c r="B30">
        <f ca="1"/>
        <v>3.8474264384685902E-2</v>
      </c>
      <c r="C30">
        <f ca="1"/>
        <v>-0.21819281519130629</v>
      </c>
      <c r="D30">
        <f ca="1"/>
        <v>-0.57115537898844781</v>
      </c>
      <c r="E30">
        <f ca="1"/>
        <v>0.10936149937778036</v>
      </c>
    </row>
    <row r="31" spans="1:5" x14ac:dyDescent="0.25">
      <c r="A31">
        <f ca="1"/>
        <v>2.7752354002912469E-2</v>
      </c>
      <c r="B31">
        <f ca="1"/>
        <v>3.8403287413698618E-2</v>
      </c>
      <c r="C31">
        <f ca="1"/>
        <v>-1.6756970355591826E-2</v>
      </c>
      <c r="D31">
        <f ca="1"/>
        <v>-0.21114766837574839</v>
      </c>
      <c r="E31">
        <f ca="1"/>
        <v>-0.70470946125367973</v>
      </c>
    </row>
    <row r="32" spans="1:5" x14ac:dyDescent="0.25">
      <c r="A32">
        <f ca="1"/>
        <v>0.11293811153760447</v>
      </c>
      <c r="B32">
        <f ca="1"/>
        <v>0.95718398379439495</v>
      </c>
      <c r="C32">
        <f ca="1"/>
        <v>-0.96663565061711276</v>
      </c>
      <c r="D32">
        <f ca="1"/>
        <v>0.56634598648491441</v>
      </c>
      <c r="E32">
        <f ca="1"/>
        <v>-0.11628818922326657</v>
      </c>
    </row>
    <row r="33" spans="1:5" x14ac:dyDescent="0.25">
      <c r="A33">
        <f ca="1"/>
        <v>5.9782040858723847E-3</v>
      </c>
      <c r="B33">
        <f ca="1"/>
        <v>1.2121835494298702E-2</v>
      </c>
      <c r="C33">
        <f ca="1"/>
        <v>-7.9277500881067033E-3</v>
      </c>
      <c r="D33">
        <f ca="1"/>
        <v>0.35642864833981758</v>
      </c>
      <c r="E33">
        <f ca="1"/>
        <v>-0.90556308780616035</v>
      </c>
    </row>
    <row r="34" spans="1:5" x14ac:dyDescent="0.25">
      <c r="A34">
        <f ca="1"/>
        <v>-0.66012541636986843</v>
      </c>
      <c r="B34">
        <f ca="1"/>
        <v>-1.2303601590807784</v>
      </c>
      <c r="C34">
        <f ca="1"/>
        <v>0.75406831985751988</v>
      </c>
      <c r="D34">
        <f ca="1"/>
        <v>0.11956783790161767</v>
      </c>
      <c r="E34">
        <f ca="1"/>
        <v>-1.142471086712151</v>
      </c>
    </row>
    <row r="35" spans="1:5" x14ac:dyDescent="0.25">
      <c r="A35">
        <f ca="1"/>
        <v>0.43129860474961873</v>
      </c>
      <c r="B35">
        <f ca="1"/>
        <v>0.39873765022705832</v>
      </c>
      <c r="C35">
        <f ca="1"/>
        <v>-3.8207949910608496E-2</v>
      </c>
      <c r="D35">
        <f ca="1"/>
        <v>-0.43631747909839452</v>
      </c>
      <c r="E35">
        <f ca="1"/>
        <v>0.88541391768056055</v>
      </c>
    </row>
    <row r="36" spans="1:5" x14ac:dyDescent="0.25">
      <c r="A36">
        <f ca="1"/>
        <v>-0.17926642012778216</v>
      </c>
      <c r="B36">
        <f ca="1"/>
        <v>0.21477047248999975</v>
      </c>
      <c r="C36">
        <f ca="1"/>
        <v>-0.41096347404902944</v>
      </c>
      <c r="D36">
        <f ca="1"/>
        <v>0.6961893314659644</v>
      </c>
      <c r="E36">
        <f ca="1"/>
        <v>1.0927796082519174E-2</v>
      </c>
    </row>
    <row r="37" spans="1:5" x14ac:dyDescent="0.25">
      <c r="A37">
        <f ca="1"/>
        <v>-6.8422580999277616E-2</v>
      </c>
      <c r="B37">
        <f ca="1"/>
        <v>-0.77778544789444137</v>
      </c>
      <c r="C37">
        <f ca="1"/>
        <v>0.80761178531147348</v>
      </c>
      <c r="D37">
        <f ca="1"/>
        <v>-0.55575731581232191</v>
      </c>
      <c r="E37">
        <f ca="1"/>
        <v>0.92522534830324521</v>
      </c>
    </row>
    <row r="38" spans="1:5" x14ac:dyDescent="0.25">
      <c r="A38">
        <f ca="1"/>
        <v>0.32413194272292584</v>
      </c>
      <c r="B38">
        <f ca="1"/>
        <v>-0.40575368946513407</v>
      </c>
      <c r="C38">
        <f ca="1"/>
        <v>0.76261301332744835</v>
      </c>
      <c r="D38">
        <f ca="1"/>
        <v>0.18663506308961542</v>
      </c>
      <c r="E38">
        <f ca="1"/>
        <v>1.5512786409384132</v>
      </c>
    </row>
    <row r="39" spans="1:5" x14ac:dyDescent="0.25">
      <c r="A39">
        <f ca="1"/>
        <v>-0.99273460506266198</v>
      </c>
      <c r="B39">
        <f ca="1"/>
        <v>-0.36268381246479015</v>
      </c>
      <c r="C39">
        <f ca="1"/>
        <v>-0.53476535021948934</v>
      </c>
      <c r="D39">
        <f ca="1"/>
        <v>6.9056333455232433E-2</v>
      </c>
      <c r="E39">
        <f ca="1"/>
        <v>-0.6989181780156507</v>
      </c>
    </row>
    <row r="40" spans="1:5" x14ac:dyDescent="0.25">
      <c r="A40">
        <f ca="1"/>
        <v>0.15408056763126243</v>
      </c>
      <c r="B40">
        <f ca="1"/>
        <v>-0.57371340137548854</v>
      </c>
      <c r="C40">
        <f ca="1"/>
        <v>0.78973273878177064</v>
      </c>
      <c r="D40">
        <f ca="1"/>
        <v>0.29308318494358132</v>
      </c>
      <c r="E40">
        <f ca="1"/>
        <v>-4.8955723147005262E-2</v>
      </c>
    </row>
    <row r="41" spans="1:5" x14ac:dyDescent="0.25">
      <c r="A41">
        <f ca="1"/>
        <v>-0.45851426750592933</v>
      </c>
      <c r="B41">
        <f ca="1"/>
        <v>-0.57245843892376003</v>
      </c>
      <c r="C41">
        <f ca="1"/>
        <v>0.20727170236014231</v>
      </c>
      <c r="D41">
        <f ca="1"/>
        <v>0.69024943252183268</v>
      </c>
      <c r="E41">
        <f ca="1"/>
        <v>-0.35511745083400209</v>
      </c>
    </row>
    <row r="42" spans="1:5" x14ac:dyDescent="0.25">
      <c r="A42">
        <f ca="1"/>
        <v>0.53360106132516572</v>
      </c>
      <c r="B42">
        <f ca="1"/>
        <v>9.0274571581000135E-2</v>
      </c>
      <c r="C42">
        <f ca="1"/>
        <v>0.4048576838070434</v>
      </c>
      <c r="D42">
        <f ca="1"/>
        <v>-0.98254155370316687</v>
      </c>
      <c r="E42">
        <f ca="1"/>
        <v>0.43201734347225929</v>
      </c>
    </row>
    <row r="43" spans="1:5" x14ac:dyDescent="0.25">
      <c r="A43">
        <f ca="1"/>
        <v>-6.17095376309705E-2</v>
      </c>
      <c r="B43">
        <f ca="1"/>
        <v>-0.78016937843408363</v>
      </c>
      <c r="C43">
        <f ca="1"/>
        <v>0.81665345176195825</v>
      </c>
      <c r="D43">
        <f ca="1"/>
        <v>0.78611446070916813</v>
      </c>
      <c r="E43">
        <f ca="1"/>
        <v>0.16519026814648965</v>
      </c>
    </row>
    <row r="44" spans="1:5" x14ac:dyDescent="0.25">
      <c r="A44">
        <f ca="1"/>
        <v>-1.7255716204079292E-2</v>
      </c>
      <c r="B44">
        <f ca="1"/>
        <v>-0.3306621288956359</v>
      </c>
      <c r="C44">
        <f ca="1"/>
        <v>0.35456599136848443</v>
      </c>
      <c r="D44">
        <f ca="1"/>
        <v>-0.21392133996470986</v>
      </c>
      <c r="E44">
        <f ca="1"/>
        <v>-0.47857988208363367</v>
      </c>
    </row>
    <row r="45" spans="1:5" x14ac:dyDescent="0.25">
      <c r="A45">
        <f ca="1"/>
        <v>0.53273760135775361</v>
      </c>
      <c r="B45">
        <f ca="1"/>
        <v>0.71585120611298036</v>
      </c>
      <c r="C45">
        <f ca="1"/>
        <v>-0.29772648933632817</v>
      </c>
      <c r="D45">
        <f ca="1"/>
        <v>0.45989115567368938</v>
      </c>
      <c r="E45">
        <f ca="1"/>
        <v>-0.50057601707749078</v>
      </c>
    </row>
    <row r="46" spans="1:5" x14ac:dyDescent="0.25">
      <c r="A46">
        <f ca="1"/>
        <v>-0.2143792578886578</v>
      </c>
      <c r="B46">
        <f ca="1"/>
        <v>-0.33018118950100012</v>
      </c>
      <c r="C46">
        <f ca="1"/>
        <v>0.16705253667569858</v>
      </c>
      <c r="D46">
        <f ca="1"/>
        <v>-0.75169045953007096</v>
      </c>
      <c r="E46">
        <f ca="1"/>
        <v>0.38780029395365562</v>
      </c>
    </row>
    <row r="47" spans="1:5" x14ac:dyDescent="0.25">
      <c r="A47">
        <f ca="1"/>
        <v>1.5869932642629574</v>
      </c>
      <c r="B47">
        <f ca="1"/>
        <v>0.71234943457396249</v>
      </c>
      <c r="C47">
        <f ca="1"/>
        <v>0.70617535833823897</v>
      </c>
      <c r="D47">
        <f ca="1"/>
        <v>0.12286439185056897</v>
      </c>
      <c r="E47">
        <f ca="1"/>
        <v>-0.86375642865352065</v>
      </c>
    </row>
    <row r="48" spans="1:5" x14ac:dyDescent="0.25">
      <c r="A48">
        <f ca="1"/>
        <v>-0.36656635264714249</v>
      </c>
      <c r="B48">
        <f ca="1"/>
        <v>-1.0586654612283795</v>
      </c>
      <c r="C48">
        <f ca="1"/>
        <v>0.83990718754467775</v>
      </c>
      <c r="D48">
        <f ca="1"/>
        <v>-0.41706191910154211</v>
      </c>
      <c r="E48">
        <f ca="1"/>
        <v>-0.1208732959504463</v>
      </c>
    </row>
    <row r="49" spans="1:5" x14ac:dyDescent="0.25">
      <c r="A49">
        <f ca="1"/>
        <v>0.49274279367473672</v>
      </c>
      <c r="B49">
        <f ca="1"/>
        <v>0.62783321786261037</v>
      </c>
      <c r="C49">
        <f ca="1"/>
        <v>-0.2369243865808614</v>
      </c>
      <c r="D49">
        <f ca="1"/>
        <v>0.6509100327179338</v>
      </c>
      <c r="E49">
        <f ca="1"/>
        <v>-0.37037072485561506</v>
      </c>
    </row>
    <row r="50" spans="1:5" x14ac:dyDescent="0.25">
      <c r="A50">
        <f ca="1"/>
        <v>0.37307957371466088</v>
      </c>
      <c r="B50">
        <f ca="1"/>
        <v>0.31825442676766852</v>
      </c>
      <c r="C50">
        <f ca="1"/>
        <v>-3.1441506750290449E-3</v>
      </c>
      <c r="D50">
        <f ca="1"/>
        <v>-1.233350903677243</v>
      </c>
      <c r="E50">
        <f ca="1"/>
        <v>-0.53937421540331132</v>
      </c>
    </row>
    <row r="51" spans="1:5" x14ac:dyDescent="0.25">
      <c r="A51">
        <f ca="1"/>
        <v>-0.34605696941674435</v>
      </c>
      <c r="B51">
        <f ca="1"/>
        <v>0.32064737745630695</v>
      </c>
      <c r="C51">
        <f ca="1"/>
        <v>-0.68793780312096753</v>
      </c>
      <c r="D51">
        <f ca="1"/>
        <v>-2.1698294896798864E-2</v>
      </c>
      <c r="E51">
        <f ca="1"/>
        <v>8.9361493599186353E-2</v>
      </c>
    </row>
    <row r="52" spans="1:5" x14ac:dyDescent="0.25">
      <c r="A52">
        <f ca="1"/>
        <v>-3.8080943437009629E-2</v>
      </c>
      <c r="B52">
        <f ca="1"/>
        <v>0.35682584196558764</v>
      </c>
      <c r="C52">
        <f ca="1"/>
        <v>-0.43640362146021194</v>
      </c>
      <c r="D52">
        <f ca="1"/>
        <v>0.39416041959624826</v>
      </c>
      <c r="E52">
        <f ca="1"/>
        <v>2.2237598896157677E-2</v>
      </c>
    </row>
    <row r="53" spans="1:5" x14ac:dyDescent="0.25">
      <c r="A53">
        <f ca="1"/>
        <v>0.31305078801967656</v>
      </c>
      <c r="B53">
        <f ca="1"/>
        <v>-0.32948248651932632</v>
      </c>
      <c r="C53">
        <f ca="1"/>
        <v>0.66654219195651132</v>
      </c>
      <c r="D53">
        <f ca="1"/>
        <v>1.1150851777355575</v>
      </c>
      <c r="E53">
        <f ca="1"/>
        <v>-1.0017754772271776</v>
      </c>
    </row>
    <row r="54" spans="1:5" x14ac:dyDescent="0.25">
      <c r="A54">
        <f ca="1"/>
        <v>0.402768978388792</v>
      </c>
      <c r="B54">
        <f ca="1"/>
        <v>0.5768710036601028</v>
      </c>
      <c r="C54">
        <f ca="1"/>
        <v>-0.26509671685864716</v>
      </c>
      <c r="D54">
        <f ca="1"/>
        <v>0.30640780383946792</v>
      </c>
      <c r="E54">
        <f ca="1"/>
        <v>0.25065145081216056</v>
      </c>
    </row>
    <row r="55" spans="1:5" x14ac:dyDescent="0.25">
      <c r="A55">
        <f ca="1"/>
        <v>2.2769937722684555E-3</v>
      </c>
      <c r="B55">
        <f ca="1"/>
        <v>0.72952824934925276</v>
      </c>
      <c r="C55">
        <f ca="1"/>
        <v>-0.81621722536160413</v>
      </c>
      <c r="D55">
        <f ca="1"/>
        <v>-0.24522186004439611</v>
      </c>
      <c r="E55">
        <f ca="1"/>
        <v>0.42643211814132442</v>
      </c>
    </row>
    <row r="56" spans="1:5" x14ac:dyDescent="0.25">
      <c r="A56">
        <f ca="1"/>
        <v>0.43418778777314898</v>
      </c>
      <c r="B56">
        <f ca="1"/>
        <v>0.73554227706557118</v>
      </c>
      <c r="C56">
        <f ca="1"/>
        <v>-0.41329135134461081</v>
      </c>
      <c r="D56">
        <f ca="1"/>
        <v>0.25237764986901462</v>
      </c>
      <c r="E56">
        <f ca="1"/>
        <v>0.63383373260556808</v>
      </c>
    </row>
    <row r="57" spans="1:5" x14ac:dyDescent="0.25">
      <c r="A57">
        <f ca="1"/>
        <v>-0.21680211437478786</v>
      </c>
      <c r="B57">
        <f ca="1"/>
        <v>-0.70653758510945885</v>
      </c>
      <c r="C57">
        <f ca="1"/>
        <v>0.58694700496451002</v>
      </c>
      <c r="D57">
        <f ca="1"/>
        <v>-0.97883977029759528</v>
      </c>
      <c r="E57">
        <f ca="1"/>
        <v>-3.2051425232978298E-2</v>
      </c>
    </row>
    <row r="58" spans="1:5" x14ac:dyDescent="0.25">
      <c r="A58">
        <f ca="1"/>
        <v>0.77952713837906307</v>
      </c>
      <c r="B58">
        <f ca="1"/>
        <v>0.7040688261683854</v>
      </c>
      <c r="C58">
        <f ca="1"/>
        <v>-5.0426432940467697E-2</v>
      </c>
      <c r="D58">
        <f ca="1"/>
        <v>8.3462526859709452E-2</v>
      </c>
      <c r="E58">
        <f ca="1"/>
        <v>-0.53751142249835782</v>
      </c>
    </row>
    <row r="59" spans="1:5" x14ac:dyDescent="0.25">
      <c r="A59">
        <f ca="1"/>
        <v>-0.36876434763318972</v>
      </c>
      <c r="B59">
        <f ca="1"/>
        <v>-0.35871603060115093</v>
      </c>
      <c r="C59">
        <f ca="1"/>
        <v>5.2626586162076522E-2</v>
      </c>
      <c r="D59">
        <f ca="1"/>
        <v>-0.14142390813045561</v>
      </c>
      <c r="E59">
        <f ca="1"/>
        <v>0.66484477665663244</v>
      </c>
    </row>
    <row r="60" spans="1:5" x14ac:dyDescent="0.25">
      <c r="A60">
        <f ca="1"/>
        <v>-3.0891980432722066E-2</v>
      </c>
      <c r="B60">
        <f ca="1"/>
        <v>-0.3962639057718671</v>
      </c>
      <c r="C60">
        <f ca="1"/>
        <v>0.41522320921394718</v>
      </c>
      <c r="D60">
        <f ca="1"/>
        <v>-0.82608994159383764</v>
      </c>
      <c r="E60">
        <f ca="1"/>
        <v>-0.25210509841499984</v>
      </c>
    </row>
    <row r="61" spans="1:5" x14ac:dyDescent="0.25">
      <c r="A61">
        <f ca="1"/>
        <v>0.11134265146289218</v>
      </c>
      <c r="B61">
        <f ca="1"/>
        <v>-0.70657656394701129</v>
      </c>
      <c r="C61">
        <f ca="1"/>
        <v>0.89823980811084603</v>
      </c>
      <c r="D61">
        <f ca="1"/>
        <v>-0.65002055305696871</v>
      </c>
      <c r="E61">
        <f ca="1"/>
        <v>1.1718350826111428</v>
      </c>
    </row>
    <row r="62" spans="1:5" x14ac:dyDescent="0.25">
      <c r="A62">
        <f ca="1"/>
        <v>-0.44585822963914812</v>
      </c>
      <c r="B62">
        <f ca="1"/>
        <v>-0.37802622408519715</v>
      </c>
      <c r="C62">
        <f ca="1"/>
        <v>1.1641224579724552E-3</v>
      </c>
      <c r="D62">
        <f ca="1"/>
        <v>-0.10562182211654533</v>
      </c>
      <c r="E62">
        <f ca="1"/>
        <v>2.2482053248549693E-2</v>
      </c>
    </row>
    <row r="63" spans="1:5" x14ac:dyDescent="0.25">
      <c r="A63">
        <f ca="1"/>
        <v>0.60001507369551743</v>
      </c>
      <c r="B63">
        <f ca="1"/>
        <v>0.58660780791454414</v>
      </c>
      <c r="C63">
        <f ca="1"/>
        <v>-8.8929174087076734E-2</v>
      </c>
      <c r="D63">
        <f ca="1"/>
        <v>-0.53288295445805833</v>
      </c>
      <c r="E63">
        <f ca="1"/>
        <v>0.88484907095996401</v>
      </c>
    </row>
    <row r="64" spans="1:5" x14ac:dyDescent="0.25">
      <c r="A64">
        <f ca="1"/>
        <v>-0.24417698478940558</v>
      </c>
      <c r="B64">
        <f ca="1"/>
        <v>-0.5493201872108332</v>
      </c>
      <c r="C64">
        <f ca="1"/>
        <v>0.38461683228758403</v>
      </c>
      <c r="D64">
        <f ca="1"/>
        <v>0.30160063183019825</v>
      </c>
      <c r="E64">
        <f ca="1"/>
        <v>0.73267808102695831</v>
      </c>
    </row>
    <row r="65" spans="1:5" x14ac:dyDescent="0.25">
      <c r="A65">
        <f ca="1"/>
        <v>0.17222438109002078</v>
      </c>
      <c r="B65">
        <f ca="1"/>
        <v>-0.88219534136039746</v>
      </c>
      <c r="C65">
        <f ca="1"/>
        <v>1.1529940919113058</v>
      </c>
      <c r="D65">
        <f ca="1"/>
        <v>0.61481789855402336</v>
      </c>
      <c r="E65">
        <f ca="1"/>
        <v>-0.13763747983245195</v>
      </c>
    </row>
    <row r="66" spans="1:5" x14ac:dyDescent="0.25">
      <c r="A66">
        <f ca="1"/>
        <v>-0.80976377694047508</v>
      </c>
      <c r="B66">
        <f ca="1"/>
        <v>-1.9003915245590031</v>
      </c>
      <c r="C66">
        <f ca="1"/>
        <v>1.3637686299024794</v>
      </c>
      <c r="D66">
        <f ca="1"/>
        <v>-1.2822333682579341</v>
      </c>
      <c r="E66">
        <f ca="1"/>
        <v>-0.45009260533588685</v>
      </c>
    </row>
    <row r="67" spans="1:5" x14ac:dyDescent="0.25">
      <c r="A67">
        <f ca="1"/>
        <v>-1.8962286068928941E-2</v>
      </c>
      <c r="B67">
        <f ca="1"/>
        <v>-0.34928667870142877</v>
      </c>
      <c r="C67">
        <f ca="1"/>
        <v>0.37384011084770574</v>
      </c>
      <c r="D67">
        <f ca="1"/>
        <v>0.9003873198376855</v>
      </c>
      <c r="E67">
        <f ca="1"/>
        <v>-0.71039185392774717</v>
      </c>
    </row>
    <row r="68" spans="1:5" x14ac:dyDescent="0.25">
      <c r="A68">
        <f ca="1"/>
        <v>0.21673785492137071</v>
      </c>
      <c r="B68">
        <f ca="1"/>
        <v>-0.32571666923312509</v>
      </c>
      <c r="C68">
        <f ca="1"/>
        <v>0.57096381583994149</v>
      </c>
      <c r="D68">
        <f ca="1"/>
        <v>-0.8756062807397228</v>
      </c>
      <c r="E68">
        <f ca="1"/>
        <v>0.68274215709471731</v>
      </c>
    </row>
    <row r="69" spans="1:5" x14ac:dyDescent="0.25">
      <c r="A69">
        <f ca="1"/>
        <v>2.0775399531025876E-2</v>
      </c>
      <c r="B69">
        <f ca="1"/>
        <v>0.64015321654018564</v>
      </c>
      <c r="C69">
        <f ca="1"/>
        <v>-0.69841132016699858</v>
      </c>
      <c r="D69">
        <f ca="1"/>
        <v>-0.1873465454173546</v>
      </c>
      <c r="E69">
        <f ca="1"/>
        <v>-0.54616952549151077</v>
      </c>
    </row>
    <row r="70" spans="1:5" x14ac:dyDescent="0.25">
      <c r="A70">
        <f ca="1"/>
        <v>0.17364314845966533</v>
      </c>
      <c r="B70">
        <f ca="1"/>
        <v>-2.8106265491056971E-2</v>
      </c>
      <c r="C70">
        <f ca="1"/>
        <v>0.19623182726195595</v>
      </c>
      <c r="D70">
        <f ca="1"/>
        <v>0.75079699669681998</v>
      </c>
      <c r="E70">
        <f ca="1"/>
        <v>-5.2365127057968544E-2</v>
      </c>
    </row>
    <row r="71" spans="1:5" x14ac:dyDescent="0.25">
      <c r="A71">
        <f ca="1"/>
        <v>-1.3393540717869779</v>
      </c>
      <c r="B71">
        <f ca="1"/>
        <v>-1.0351890780622639</v>
      </c>
      <c r="C71">
        <f ca="1"/>
        <v>-0.10912868579791379</v>
      </c>
      <c r="D71">
        <f ca="1"/>
        <v>0.21127685848474492</v>
      </c>
      <c r="E71">
        <f ca="1"/>
        <v>0.35820484377469536</v>
      </c>
    </row>
    <row r="72" spans="1:5" x14ac:dyDescent="0.25">
      <c r="A72">
        <f ca="1"/>
        <v>0.15701605281496922</v>
      </c>
      <c r="B72">
        <f ca="1"/>
        <v>0.66504162729849781</v>
      </c>
      <c r="C72">
        <f ca="1"/>
        <v>-0.59710504939222131</v>
      </c>
      <c r="D72">
        <f ca="1"/>
        <v>2.2803503164902095E-2</v>
      </c>
      <c r="E72">
        <f ca="1"/>
        <v>0.15737028934699193</v>
      </c>
    </row>
    <row r="73" spans="1:5" x14ac:dyDescent="0.25">
      <c r="A73">
        <f ca="1"/>
        <v>0.95473065388312062</v>
      </c>
      <c r="B73">
        <f ca="1"/>
        <v>0.54566698306239514</v>
      </c>
      <c r="C73">
        <f ca="1"/>
        <v>0.29344960445200025</v>
      </c>
      <c r="D73">
        <f ca="1"/>
        <v>-1.114094069754364</v>
      </c>
      <c r="E73">
        <f ca="1"/>
        <v>0.76763459546001978</v>
      </c>
    </row>
    <row r="74" spans="1:5" x14ac:dyDescent="0.25">
      <c r="A74">
        <f ca="1"/>
        <v>-0.34315366285186788</v>
      </c>
      <c r="B74">
        <f ca="1"/>
        <v>-0.66278320996830686</v>
      </c>
      <c r="C74">
        <f ca="1"/>
        <v>0.41801792125336029</v>
      </c>
      <c r="D74">
        <f ca="1"/>
        <v>-0.19324657753132365</v>
      </c>
      <c r="E74">
        <f ca="1"/>
        <v>-0.32032709138885973</v>
      </c>
    </row>
    <row r="75" spans="1:5" x14ac:dyDescent="0.25">
      <c r="A75">
        <f ca="1"/>
        <v>0.65897334410911745</v>
      </c>
      <c r="B75">
        <f ca="1"/>
        <v>0.25556073185263817</v>
      </c>
      <c r="C75">
        <f ca="1"/>
        <v>0.33835848804307039</v>
      </c>
      <c r="D75">
        <f ca="1"/>
        <v>0.67467835564144596</v>
      </c>
      <c r="E75">
        <f ca="1"/>
        <v>0.31417650084605381</v>
      </c>
    </row>
    <row r="76" spans="1:5" x14ac:dyDescent="0.25">
      <c r="A76">
        <f ca="1"/>
        <v>0.24082782998621929</v>
      </c>
      <c r="B76">
        <f ca="1"/>
        <v>0.32319597914287029</v>
      </c>
      <c r="C76">
        <f ca="1"/>
        <v>-0.13412982824444242</v>
      </c>
      <c r="D76">
        <f ca="1"/>
        <v>-0.58370359781104997</v>
      </c>
      <c r="E76">
        <f ca="1"/>
        <v>-1.1538652293097957E-2</v>
      </c>
    </row>
    <row r="77" spans="1:5" x14ac:dyDescent="0.25">
      <c r="A77">
        <f ca="1"/>
        <v>-0.82071067305326273</v>
      </c>
      <c r="B77">
        <f ca="1"/>
        <v>-0.76266926351027764</v>
      </c>
      <c r="C77">
        <f ca="1"/>
        <v>7.710072082266789E-2</v>
      </c>
      <c r="D77">
        <f ca="1"/>
        <v>-9.7484329399776637E-2</v>
      </c>
      <c r="E77">
        <f ca="1"/>
        <v>-0.25314314446373593</v>
      </c>
    </row>
    <row r="78" spans="1:5" x14ac:dyDescent="0.25">
      <c r="A78">
        <f ca="1"/>
        <v>0.55832479073496721</v>
      </c>
      <c r="B78">
        <f ca="1"/>
        <v>0.38142985988774014</v>
      </c>
      <c r="C78">
        <f ca="1"/>
        <v>0.10169353951668075</v>
      </c>
      <c r="D78">
        <f ca="1"/>
        <v>-0.8557463172230565</v>
      </c>
      <c r="E78">
        <f ca="1"/>
        <v>0.86631012661658879</v>
      </c>
    </row>
    <row r="79" spans="1:5" x14ac:dyDescent="0.25">
      <c r="A79">
        <f ca="1"/>
        <v>0.25372130628070522</v>
      </c>
      <c r="B79">
        <f ca="1"/>
        <v>0.31270596586240201</v>
      </c>
      <c r="C79">
        <f ca="1"/>
        <v>-0.1101326333812684</v>
      </c>
      <c r="D79">
        <f ca="1"/>
        <v>0.23960688717374234</v>
      </c>
      <c r="E79">
        <f ca="1"/>
        <v>-0.82647446719689754</v>
      </c>
    </row>
    <row r="80" spans="1:5" x14ac:dyDescent="0.25">
      <c r="A80">
        <f ca="1"/>
        <v>-0.31816643341327394</v>
      </c>
      <c r="B80">
        <f ca="1"/>
        <v>-0.80827269405854418</v>
      </c>
      <c r="C80">
        <f ca="1"/>
        <v>0.60492714090123867</v>
      </c>
      <c r="D80">
        <f ca="1"/>
        <v>-0.81914816232515375</v>
      </c>
      <c r="E80">
        <f ca="1"/>
        <v>0.401569625123054</v>
      </c>
    </row>
    <row r="81" spans="1:5" x14ac:dyDescent="0.25">
      <c r="A81">
        <f ca="1"/>
        <v>-0.19516384131732462</v>
      </c>
      <c r="B81">
        <f ca="1"/>
        <v>-0.37422937148119584</v>
      </c>
      <c r="C81">
        <f ca="1"/>
        <v>0.23469135884717596</v>
      </c>
      <c r="D81">
        <f ca="1"/>
        <v>3.3750920873827549E-2</v>
      </c>
      <c r="E81">
        <f ca="1"/>
        <v>1.0419004455586494</v>
      </c>
    </row>
    <row r="82" spans="1:5" x14ac:dyDescent="0.25">
      <c r="A82">
        <f ca="1"/>
        <v>-0.23261426718467371</v>
      </c>
      <c r="B82">
        <f ca="1"/>
        <v>-0.11853844980834846</v>
      </c>
      <c r="C82">
        <f ca="1"/>
        <v>-8.7662138584936961E-2</v>
      </c>
      <c r="D82">
        <f ca="1"/>
        <v>0.45430178642181618</v>
      </c>
      <c r="E82">
        <f ca="1"/>
        <v>0.57521912525184782</v>
      </c>
    </row>
    <row r="83" spans="1:5" x14ac:dyDescent="0.25">
      <c r="A83">
        <f ca="1"/>
        <v>-0.23310316992499747</v>
      </c>
      <c r="B83">
        <f ca="1"/>
        <v>0.50638504382173788</v>
      </c>
      <c r="C83">
        <f ca="1"/>
        <v>-0.78915835342746155</v>
      </c>
      <c r="D83">
        <f ca="1"/>
        <v>0.13360224125135406</v>
      </c>
      <c r="E83">
        <f ca="1"/>
        <v>-0.21035144837297429</v>
      </c>
    </row>
    <row r="84" spans="1:5" x14ac:dyDescent="0.25">
      <c r="A84">
        <f ca="1"/>
        <v>0.28679345950679846</v>
      </c>
      <c r="B84">
        <f ca="1"/>
        <v>0.11510742181388051</v>
      </c>
      <c r="C84">
        <f ca="1"/>
        <v>0.14290061488735975</v>
      </c>
      <c r="D84">
        <f ca="1"/>
        <v>-0.12625113716995742</v>
      </c>
      <c r="E84">
        <f ca="1"/>
        <v>-0.56219320989852373</v>
      </c>
    </row>
    <row r="85" spans="1:5" x14ac:dyDescent="0.25">
      <c r="A85">
        <f ca="1"/>
        <v>-0.38992032600311349</v>
      </c>
      <c r="B85">
        <f ca="1"/>
        <v>-0.57353818418263336</v>
      </c>
      <c r="C85">
        <f ca="1"/>
        <v>0.27354508992347876</v>
      </c>
      <c r="D85">
        <f ca="1"/>
        <v>1.0275577603691741</v>
      </c>
      <c r="E85">
        <f ca="1"/>
        <v>-0.62796213682795754</v>
      </c>
    </row>
    <row r="86" spans="1:5" x14ac:dyDescent="0.25">
      <c r="A86">
        <f ca="1"/>
        <v>0.66539350941552788</v>
      </c>
      <c r="B86">
        <f ca="1"/>
        <v>1.0061648707520265</v>
      </c>
      <c r="C86">
        <f ca="1"/>
        <v>-0.49757159882735158</v>
      </c>
      <c r="D86">
        <f ca="1"/>
        <v>0.67942498174049537</v>
      </c>
      <c r="E86">
        <f ca="1"/>
        <v>0.94016797262792307</v>
      </c>
    </row>
    <row r="87" spans="1:5" x14ac:dyDescent="0.25">
      <c r="A87">
        <f ca="1"/>
        <v>0.46881773989478903</v>
      </c>
      <c r="B87">
        <f ca="1"/>
        <v>0.56872452060927181</v>
      </c>
      <c r="C87">
        <f ca="1"/>
        <v>-0.19331007093645269</v>
      </c>
      <c r="D87">
        <f ca="1"/>
        <v>0.13443934857947185</v>
      </c>
      <c r="E87">
        <f ca="1"/>
        <v>-0.12429637500917991</v>
      </c>
    </row>
    <row r="88" spans="1:5" x14ac:dyDescent="0.25">
      <c r="A88">
        <f ca="1"/>
        <v>1.6369270742708029</v>
      </c>
      <c r="B88">
        <f ca="1"/>
        <v>2.2543156705127854</v>
      </c>
      <c r="C88">
        <f ca="1"/>
        <v>-0.9762230655115951</v>
      </c>
      <c r="D88">
        <f ca="1"/>
        <v>0.69044001660265253</v>
      </c>
      <c r="E88">
        <f ca="1"/>
        <v>0.82880896213219746</v>
      </c>
    </row>
    <row r="89" spans="1:5" x14ac:dyDescent="0.25">
      <c r="A89">
        <f ca="1"/>
        <v>0.64664694187441163</v>
      </c>
      <c r="B89">
        <f ca="1"/>
        <v>0.53305702064866978</v>
      </c>
      <c r="C89">
        <f ca="1"/>
        <v>1.5374388020515758E-2</v>
      </c>
      <c r="D89">
        <f ca="1"/>
        <v>3.6051643172747894E-2</v>
      </c>
      <c r="E89">
        <f ca="1"/>
        <v>-0.73329944620270049</v>
      </c>
    </row>
    <row r="90" spans="1:5" x14ac:dyDescent="0.25">
      <c r="A90">
        <f ca="1"/>
        <v>-0.19572522994908698</v>
      </c>
      <c r="B90">
        <f ca="1"/>
        <v>0.64355139771885495</v>
      </c>
      <c r="C90">
        <f ca="1"/>
        <v>-0.90757669566201726</v>
      </c>
      <c r="D90">
        <f ca="1"/>
        <v>0.20778106200761476</v>
      </c>
      <c r="E90">
        <f ca="1"/>
        <v>0.14571406506793927</v>
      </c>
    </row>
    <row r="91" spans="1:5" x14ac:dyDescent="0.25">
      <c r="A91">
        <f ca="1"/>
        <v>0.39421074466651906</v>
      </c>
      <c r="B91">
        <f ca="1"/>
        <v>-0.69715314235240566</v>
      </c>
      <c r="C91">
        <f ca="1"/>
        <v>1.1559723480378796</v>
      </c>
      <c r="D91">
        <f ca="1"/>
        <v>0.73093869540834655</v>
      </c>
      <c r="E91">
        <f ca="1"/>
        <v>0.41720586017449779</v>
      </c>
    </row>
    <row r="92" spans="1:5" x14ac:dyDescent="0.25">
      <c r="A92">
        <f ca="1"/>
        <v>-0.29938592489626475</v>
      </c>
      <c r="B92">
        <f ca="1"/>
        <v>-5.0163133627832882E-2</v>
      </c>
      <c r="C92">
        <f ca="1"/>
        <v>-0.22769852007597371</v>
      </c>
      <c r="D92">
        <f ca="1"/>
        <v>-0.10937952189682734</v>
      </c>
      <c r="E92">
        <f ca="1"/>
        <v>0.94931883517895144</v>
      </c>
    </row>
    <row r="93" spans="1:5" x14ac:dyDescent="0.25">
      <c r="A93">
        <f ca="1"/>
        <v>-0.25416998831380172</v>
      </c>
      <c r="B93">
        <f ca="1"/>
        <v>-0.34727911088076907</v>
      </c>
      <c r="C93">
        <f ca="1"/>
        <v>0.14849083727833459</v>
      </c>
      <c r="D93">
        <f ca="1"/>
        <v>-0.49264118473501961</v>
      </c>
      <c r="E93">
        <f ca="1"/>
        <v>0.17002405449817359</v>
      </c>
    </row>
    <row r="94" spans="1:5" x14ac:dyDescent="0.25">
      <c r="A94">
        <f ca="1"/>
        <v>0.34833001934005503</v>
      </c>
      <c r="B94">
        <f ca="1"/>
        <v>0.66539591058715708</v>
      </c>
      <c r="C94">
        <f ca="1"/>
        <v>-0.41603898728970973</v>
      </c>
      <c r="D94">
        <f ca="1"/>
        <v>-0.68272538025565899</v>
      </c>
      <c r="E94">
        <f ca="1"/>
        <v>-9.6547267203967726E-4</v>
      </c>
    </row>
    <row r="95" spans="1:5" x14ac:dyDescent="0.25">
      <c r="A95">
        <f ca="1"/>
        <v>1.1374325779899747E-2</v>
      </c>
      <c r="B95">
        <f ca="1"/>
        <v>-0.15221218422677238</v>
      </c>
      <c r="C95">
        <f ca="1"/>
        <v>0.18153867731058421</v>
      </c>
      <c r="D95">
        <f ca="1"/>
        <v>-0.44759614689716387</v>
      </c>
      <c r="E95">
        <f ca="1"/>
        <v>0.61199025905331728</v>
      </c>
    </row>
    <row r="96" spans="1:5" x14ac:dyDescent="0.25">
      <c r="A96">
        <f ca="1"/>
        <v>0.48493829218963591</v>
      </c>
      <c r="B96">
        <f ca="1"/>
        <v>-0.14171209843843907</v>
      </c>
      <c r="C96">
        <f ca="1"/>
        <v>0.61894065156631917</v>
      </c>
      <c r="D96">
        <f ca="1"/>
        <v>7.6197244101669837E-2</v>
      </c>
      <c r="E96">
        <f ca="1"/>
        <v>0.32617841133446418</v>
      </c>
    </row>
    <row r="97" spans="1:5" x14ac:dyDescent="0.25">
      <c r="A97">
        <f ca="1"/>
        <v>-0.33437625292656392</v>
      </c>
      <c r="B97">
        <f ca="1"/>
        <v>-0.47701085072353744</v>
      </c>
      <c r="C97">
        <f ca="1"/>
        <v>0.2179459515230017</v>
      </c>
      <c r="D97">
        <f ca="1"/>
        <v>0.78656015298226467</v>
      </c>
      <c r="E97">
        <f ca="1"/>
        <v>-0.36870466745414127</v>
      </c>
    </row>
    <row r="98" spans="1:5" x14ac:dyDescent="0.25">
      <c r="A98">
        <f ca="1"/>
        <v>0.28035803061535397</v>
      </c>
      <c r="B98">
        <f ca="1"/>
        <v>0.45784586542303513</v>
      </c>
      <c r="C98">
        <f ca="1"/>
        <v>-0.24768378011162168</v>
      </c>
      <c r="D98">
        <f ca="1"/>
        <v>-0.15055886527567225</v>
      </c>
      <c r="E98">
        <f ca="1"/>
        <v>-2.0954544952836045E-2</v>
      </c>
    </row>
    <row r="99" spans="1:5" x14ac:dyDescent="0.25">
      <c r="A99">
        <f ca="1"/>
        <v>0.22242242329731729</v>
      </c>
      <c r="B99">
        <f ca="1"/>
        <v>0.48660494154167833</v>
      </c>
      <c r="C99">
        <f ca="1"/>
        <v>-0.33489799239085938</v>
      </c>
      <c r="D99">
        <f ca="1"/>
        <v>-0.84731283581386407</v>
      </c>
      <c r="E99">
        <f ca="1"/>
        <v>0.84428712829192587</v>
      </c>
    </row>
    <row r="100" spans="1:5" x14ac:dyDescent="0.25">
      <c r="A100">
        <f ca="1"/>
        <v>0.44146685857723378</v>
      </c>
      <c r="B100">
        <f ca="1"/>
        <v>0.510858797749557</v>
      </c>
      <c r="C100">
        <f ca="1"/>
        <v>-0.15433954740383438</v>
      </c>
      <c r="D100">
        <f ca="1"/>
        <v>-0.24382493659316523</v>
      </c>
      <c r="E100">
        <f ca="1"/>
        <v>0.7191496577447154</v>
      </c>
    </row>
    <row r="101" spans="1:5" x14ac:dyDescent="0.25">
      <c r="A101">
        <f ca="1"/>
        <v>0.18665146338729977</v>
      </c>
      <c r="B101">
        <f ca="1"/>
        <v>-7.5329539751146646E-3</v>
      </c>
      <c r="C101">
        <f ca="1"/>
        <v>0.18549144268139761</v>
      </c>
      <c r="D101">
        <f ca="1"/>
        <v>1.0226205601901306</v>
      </c>
      <c r="E101">
        <f ca="1"/>
        <v>-0.39973548305688339</v>
      </c>
    </row>
    <row r="102" spans="1:5" x14ac:dyDescent="0.25">
      <c r="A102">
        <f ca="1"/>
        <v>2.3085277339035926E-2</v>
      </c>
      <c r="B102">
        <f ca="1"/>
        <v>0.56013863102315264</v>
      </c>
      <c r="C102">
        <f ca="1"/>
        <v>-0.60646086912159658</v>
      </c>
      <c r="D102">
        <f ca="1"/>
        <v>2.4163477995512439E-3</v>
      </c>
      <c r="E102">
        <f ca="1"/>
        <v>0.20413642488058167</v>
      </c>
    </row>
    <row r="103" spans="1:5" x14ac:dyDescent="0.25">
      <c r="A103">
        <f ca="1"/>
        <v>-2.2113905115345792E-3</v>
      </c>
      <c r="B103">
        <f ca="1"/>
        <v>0.25007553104295571</v>
      </c>
      <c r="C103">
        <f ca="1"/>
        <v>-0.28262958280288791</v>
      </c>
      <c r="D103">
        <f ca="1"/>
        <v>0.25196140878900702</v>
      </c>
      <c r="E103">
        <f ca="1"/>
        <v>0.53693577132871095</v>
      </c>
    </row>
    <row r="104" spans="1:5" x14ac:dyDescent="0.25">
      <c r="A104">
        <f ca="1"/>
        <v>0.14014752437054268</v>
      </c>
      <c r="B104">
        <f ca="1"/>
        <v>0.5016000395531568</v>
      </c>
      <c r="C104">
        <f ca="1"/>
        <v>-0.42975801885758286</v>
      </c>
      <c r="D104">
        <f ca="1"/>
        <v>0.82373225587545784</v>
      </c>
      <c r="E104">
        <f ca="1"/>
        <v>-0.31073483482111036</v>
      </c>
    </row>
    <row r="105" spans="1:5" x14ac:dyDescent="0.25">
      <c r="A105">
        <f ca="1"/>
        <v>-4.8782772262514262E-2</v>
      </c>
      <c r="B105">
        <f ca="1"/>
        <v>-0.25045385395130187</v>
      </c>
      <c r="C105">
        <f ca="1"/>
        <v>0.23468543264855643</v>
      </c>
      <c r="D105">
        <f ca="1"/>
        <v>0.33433745105131873</v>
      </c>
      <c r="E105">
        <f ca="1"/>
        <v>-0.73652384492877387</v>
      </c>
    </row>
    <row r="106" spans="1:5" x14ac:dyDescent="0.25">
      <c r="A106">
        <f ca="1"/>
        <v>1.3746704558788951</v>
      </c>
      <c r="B106">
        <f ca="1"/>
        <v>1.0271088716254091</v>
      </c>
      <c r="C106">
        <f ca="1"/>
        <v>0.15169097057615349</v>
      </c>
      <c r="D106">
        <f ca="1"/>
        <v>-0.46725940365425433</v>
      </c>
      <c r="E106">
        <f ca="1"/>
        <v>-0.29758843103317012</v>
      </c>
    </row>
    <row r="107" spans="1:5" x14ac:dyDescent="0.25">
      <c r="A107">
        <f ca="1"/>
        <v>0.59086211473099537</v>
      </c>
      <c r="B107">
        <f ca="1"/>
        <v>0.19397438128017425</v>
      </c>
      <c r="C107">
        <f ca="1"/>
        <v>0.34284111389720373</v>
      </c>
      <c r="D107">
        <f ca="1"/>
        <v>-0.24529614554739604</v>
      </c>
      <c r="E107">
        <f ca="1"/>
        <v>0.36806303214367109</v>
      </c>
    </row>
    <row r="108" spans="1:5" x14ac:dyDescent="0.25">
      <c r="A108">
        <f ca="1"/>
        <v>0.5106325490324366</v>
      </c>
      <c r="B108">
        <f ca="1"/>
        <v>0.28279234862045</v>
      </c>
      <c r="C108">
        <f ca="1"/>
        <v>0.16710740497952054</v>
      </c>
      <c r="D108">
        <f ca="1"/>
        <v>-0.52534819826272738</v>
      </c>
      <c r="E108">
        <f ca="1"/>
        <v>-0.5541570566110734</v>
      </c>
    </row>
    <row r="109" spans="1:5" x14ac:dyDescent="0.25">
      <c r="A109">
        <f ca="1"/>
        <v>0.15281966200402358</v>
      </c>
      <c r="B109">
        <f ca="1"/>
        <v>0.44098421259914466</v>
      </c>
      <c r="C109">
        <f ca="1"/>
        <v>-0.34974016510235817</v>
      </c>
      <c r="D109">
        <f ca="1"/>
        <v>0.19584772125522176</v>
      </c>
      <c r="E109">
        <f ca="1"/>
        <v>-0.65229733906007858</v>
      </c>
    </row>
    <row r="110" spans="1:5" x14ac:dyDescent="0.25">
      <c r="A110">
        <f ca="1"/>
        <v>-0.50688711652912255</v>
      </c>
      <c r="B110">
        <f ca="1"/>
        <v>-2.1831622807976303</v>
      </c>
      <c r="C110">
        <f ca="1"/>
        <v>1.968259826083377</v>
      </c>
      <c r="D110">
        <f ca="1"/>
        <v>-0.19792935722987542</v>
      </c>
      <c r="E110">
        <f ca="1"/>
        <v>-0.63285533049788778</v>
      </c>
    </row>
    <row r="111" spans="1:5" x14ac:dyDescent="0.25">
      <c r="A111">
        <f ca="1"/>
        <v>-0.6687689597730857</v>
      </c>
      <c r="B111">
        <f ca="1"/>
        <v>-0.81030795095003982</v>
      </c>
      <c r="C111">
        <f ca="1"/>
        <v>0.27465974954655759</v>
      </c>
      <c r="D111">
        <f ca="1"/>
        <v>0.29457121740340031</v>
      </c>
      <c r="E111">
        <f ca="1"/>
        <v>9.3297252291755409E-2</v>
      </c>
    </row>
    <row r="112" spans="1:5" x14ac:dyDescent="0.25">
      <c r="A112">
        <f ca="1"/>
        <v>-0.31320875932199754</v>
      </c>
      <c r="B112">
        <f ca="1"/>
        <v>-0.54102631602947615</v>
      </c>
      <c r="C112">
        <f ca="1"/>
        <v>0.30983542584132051</v>
      </c>
      <c r="D112">
        <f ca="1"/>
        <v>0.42073483402092587</v>
      </c>
      <c r="E112">
        <f ca="1"/>
        <v>1.2531800572668397</v>
      </c>
    </row>
    <row r="113" spans="1:5" x14ac:dyDescent="0.25">
      <c r="A113">
        <f ca="1"/>
        <v>-0.41114719983262216</v>
      </c>
      <c r="B113">
        <f ca="1"/>
        <v>0.51682886828469576</v>
      </c>
      <c r="C113">
        <f ca="1"/>
        <v>-0.9697509300011049</v>
      </c>
      <c r="D113">
        <f ca="1"/>
        <v>0.96289899987046046</v>
      </c>
      <c r="E113">
        <f ca="1"/>
        <v>0.79879509228190071</v>
      </c>
    </row>
    <row r="114" spans="1:5" x14ac:dyDescent="0.25">
      <c r="A114">
        <f ca="1"/>
        <v>-0.27115084031570219</v>
      </c>
      <c r="B114">
        <f ca="1"/>
        <v>0.53216560491345954</v>
      </c>
      <c r="C114">
        <f ca="1"/>
        <v>-0.85416736297111795</v>
      </c>
      <c r="D114">
        <f ca="1"/>
        <v>-0.81938204110161383</v>
      </c>
      <c r="E114">
        <f ca="1"/>
        <v>0.38984546805500386</v>
      </c>
    </row>
    <row r="115" spans="1:5" x14ac:dyDescent="0.25">
      <c r="A115">
        <f ca="1"/>
        <v>8.821547961108335E-2</v>
      </c>
      <c r="B115">
        <f ca="1"/>
        <v>9.6566574930293206E-2</v>
      </c>
      <c r="C115">
        <f ca="1"/>
        <v>-2.4653954936367801E-2</v>
      </c>
      <c r="D115">
        <f ca="1"/>
        <v>0.41224662973286053</v>
      </c>
      <c r="E115">
        <f ca="1"/>
        <v>-0.45137307701861312</v>
      </c>
    </row>
    <row r="116" spans="1:5" x14ac:dyDescent="0.25">
      <c r="A116">
        <f ca="1"/>
        <v>0.68523570651085519</v>
      </c>
      <c r="B116">
        <f ca="1"/>
        <v>0.51176218447167177</v>
      </c>
      <c r="C116">
        <f ca="1"/>
        <v>7.5864593480347603E-2</v>
      </c>
      <c r="D116">
        <f ca="1"/>
        <v>-0.3960017239714626</v>
      </c>
      <c r="E116">
        <f ca="1"/>
        <v>-9.9926304874256369E-2</v>
      </c>
    </row>
    <row r="117" spans="1:5" x14ac:dyDescent="0.25">
      <c r="A117">
        <f ca="1"/>
        <v>0.37541525494515648</v>
      </c>
      <c r="B117">
        <f ca="1"/>
        <v>0.64580699548436216</v>
      </c>
      <c r="C117">
        <f ca="1"/>
        <v>-0.36837369516091623</v>
      </c>
      <c r="D117">
        <f ca="1"/>
        <v>-0.25087291430705622</v>
      </c>
      <c r="E117">
        <f ca="1"/>
        <v>0.51114025477757796</v>
      </c>
    </row>
    <row r="118" spans="1:5" x14ac:dyDescent="0.25">
      <c r="A118">
        <f ca="1"/>
        <v>0.47813106846533227</v>
      </c>
      <c r="B118">
        <f ca="1"/>
        <v>1.5726404732429529</v>
      </c>
      <c r="C118">
        <f ca="1"/>
        <v>-1.3106584400362491</v>
      </c>
      <c r="D118">
        <f ca="1"/>
        <v>0.63166981897571739</v>
      </c>
      <c r="E118">
        <f ca="1"/>
        <v>-0.14396967695617938</v>
      </c>
    </row>
    <row r="119" spans="1:5" x14ac:dyDescent="0.25">
      <c r="A119">
        <f ca="1"/>
        <v>0.36375842742976316</v>
      </c>
      <c r="B119">
        <f ca="1"/>
        <v>0.24004197242875558</v>
      </c>
      <c r="C119">
        <f ca="1"/>
        <v>7.5752529045361602E-2</v>
      </c>
      <c r="D119">
        <f ca="1"/>
        <v>0.81244127128361554</v>
      </c>
      <c r="E119">
        <f ca="1"/>
        <v>0.36313557952123754</v>
      </c>
    </row>
    <row r="120" spans="1:5" x14ac:dyDescent="0.25">
      <c r="A120">
        <f ca="1"/>
        <v>-2.280872946944501E-2</v>
      </c>
      <c r="B120">
        <f ca="1"/>
        <v>0.57128896546937236</v>
      </c>
      <c r="C120">
        <f ca="1"/>
        <v>-0.6625001871982461</v>
      </c>
      <c r="D120">
        <f ca="1"/>
        <v>0.57300783011985268</v>
      </c>
      <c r="E120">
        <f ca="1"/>
        <v>-0.69187571587298868</v>
      </c>
    </row>
    <row r="121" spans="1:5" x14ac:dyDescent="0.25">
      <c r="A121">
        <f ca="1"/>
        <v>-2.4285025764076547E-2</v>
      </c>
      <c r="B121">
        <f ca="1"/>
        <v>6.9582634687262081E-3</v>
      </c>
      <c r="C121">
        <f ca="1"/>
        <v>-3.0840331166989275E-2</v>
      </c>
      <c r="D121">
        <f ca="1"/>
        <v>0.2332656813355693</v>
      </c>
      <c r="E121">
        <f ca="1"/>
        <v>-0.30040734198524377</v>
      </c>
    </row>
    <row r="122" spans="1:5" x14ac:dyDescent="0.25">
      <c r="A122">
        <f ca="1"/>
        <v>-0.16515672662620839</v>
      </c>
      <c r="B122">
        <f ca="1"/>
        <v>-0.78129749202251397</v>
      </c>
      <c r="C122">
        <f ca="1"/>
        <v>0.71979811129724292</v>
      </c>
      <c r="D122">
        <f ca="1"/>
        <v>-0.83980562214083543</v>
      </c>
      <c r="E122">
        <f ca="1"/>
        <v>0.4436641696580349</v>
      </c>
    </row>
    <row r="123" spans="1:5" x14ac:dyDescent="0.25">
      <c r="A123">
        <f ca="1"/>
        <v>0.2419042934669362</v>
      </c>
      <c r="B123">
        <f ca="1"/>
        <v>0.5569801954795196</v>
      </c>
      <c r="C123">
        <f ca="1"/>
        <v>-0.3953654213656313</v>
      </c>
      <c r="D123">
        <f ca="1"/>
        <v>2.4924143305975803E-2</v>
      </c>
      <c r="E123">
        <f ca="1"/>
        <v>0.30834096036226039</v>
      </c>
    </row>
    <row r="124" spans="1:5" x14ac:dyDescent="0.25">
      <c r="A124">
        <f ca="1"/>
        <v>-0.97407866839893209</v>
      </c>
      <c r="B124">
        <f ca="1"/>
        <v>-0.39692446125990499</v>
      </c>
      <c r="C124">
        <f ca="1"/>
        <v>-0.47865918689415177</v>
      </c>
      <c r="D124">
        <f ca="1"/>
        <v>-0.43819840772061402</v>
      </c>
      <c r="E124">
        <f ca="1"/>
        <v>-3.5752146544861557E-2</v>
      </c>
    </row>
    <row r="125" spans="1:5" x14ac:dyDescent="0.25">
      <c r="A125">
        <f ca="1"/>
        <v>0.1214139657258676</v>
      </c>
      <c r="B125">
        <f ca="1"/>
        <v>-0.84098709854609721</v>
      </c>
      <c r="C125">
        <f ca="1"/>
        <v>1.0585728640653977</v>
      </c>
      <c r="D125">
        <f ca="1"/>
        <v>0.6899471013221834</v>
      </c>
      <c r="E125">
        <f ca="1"/>
        <v>0.50700470940331122</v>
      </c>
    </row>
    <row r="126" spans="1:5" x14ac:dyDescent="0.25">
      <c r="A126">
        <f ca="1"/>
        <v>-0.32911467589252569</v>
      </c>
      <c r="B126">
        <f ca="1"/>
        <v>-0.46237071890283443</v>
      </c>
      <c r="C126">
        <f ca="1"/>
        <v>0.20651347459109537</v>
      </c>
      <c r="D126">
        <f ca="1"/>
        <v>-0.25170595516027083</v>
      </c>
      <c r="E126">
        <f ca="1"/>
        <v>0.22316231405254827</v>
      </c>
    </row>
    <row r="127" spans="1:5" x14ac:dyDescent="0.25">
      <c r="A127">
        <f ca="1"/>
        <v>0.73804901807278622</v>
      </c>
      <c r="B127">
        <f ca="1"/>
        <v>-0.40601061797447341</v>
      </c>
      <c r="C127">
        <f ca="1"/>
        <v>1.1555063302174091</v>
      </c>
      <c r="D127">
        <f ca="1"/>
        <v>-8.895106235970679E-2</v>
      </c>
      <c r="E127">
        <f ca="1"/>
        <v>-0.85026613790656969</v>
      </c>
    </row>
    <row r="128" spans="1:5" x14ac:dyDescent="0.25">
      <c r="A128">
        <f ca="1"/>
        <v>-0.45485592822527149</v>
      </c>
      <c r="B128">
        <f ca="1"/>
        <v>-0.2037940808518392</v>
      </c>
      <c r="C128">
        <f ca="1"/>
        <v>-0.20282205095549527</v>
      </c>
      <c r="D128">
        <f ca="1"/>
        <v>0.81553008193598608</v>
      </c>
      <c r="E128">
        <f ca="1"/>
        <v>-0.34258958054766192</v>
      </c>
    </row>
    <row r="129" spans="1:5" x14ac:dyDescent="0.25">
      <c r="A129">
        <f ca="1"/>
        <v>-0.19205090119178828</v>
      </c>
      <c r="B129">
        <f ca="1"/>
        <v>-9.4673767607752382E-2</v>
      </c>
      <c r="C129">
        <f ca="1"/>
        <v>-7.5958465329300812E-2</v>
      </c>
      <c r="D129">
        <f ca="1"/>
        <v>-0.50221182293569899</v>
      </c>
      <c r="E129">
        <f ca="1"/>
        <v>0.85413468697904482</v>
      </c>
    </row>
    <row r="130" spans="1:5" x14ac:dyDescent="0.25">
      <c r="A130">
        <f ca="1"/>
        <v>0.56520046046324179</v>
      </c>
      <c r="B130">
        <f ca="1"/>
        <v>0.47075724161228372</v>
      </c>
      <c r="C130">
        <f ca="1"/>
        <v>8.008690661831297E-3</v>
      </c>
      <c r="D130">
        <f ca="1"/>
        <v>-0.82561450251277158</v>
      </c>
      <c r="E130">
        <f ca="1"/>
        <v>0.53774357198282796</v>
      </c>
    </row>
    <row r="131" spans="1:5" x14ac:dyDescent="0.25">
      <c r="A131">
        <f ca="1"/>
        <v>-4.0112925467235966E-2</v>
      </c>
      <c r="B131">
        <f ca="1"/>
        <v>-0.12580609479813887</v>
      </c>
      <c r="C131">
        <f ca="1"/>
        <v>0.1030803600627046</v>
      </c>
      <c r="D131">
        <f ca="1"/>
        <v>0.25690313782689311</v>
      </c>
      <c r="E131">
        <f ca="1"/>
        <v>-7.2100917474464912E-2</v>
      </c>
    </row>
    <row r="132" spans="1:5" x14ac:dyDescent="0.25">
      <c r="A132">
        <f ca="1"/>
        <v>-2.3286816398113974E-3</v>
      </c>
      <c r="B132">
        <f ca="1"/>
        <v>0.37717443058447919</v>
      </c>
      <c r="C132">
        <f ca="1"/>
        <v>-0.42531901962175578</v>
      </c>
      <c r="D132">
        <f ca="1"/>
        <v>-0.77931438734275649</v>
      </c>
      <c r="E132">
        <f ca="1"/>
        <v>-1.4459817043272369</v>
      </c>
    </row>
    <row r="133" spans="1:5" x14ac:dyDescent="0.25">
      <c r="A133">
        <f ca="1"/>
        <v>-7.8926179487472603E-2</v>
      </c>
      <c r="B133">
        <f ca="1"/>
        <v>0.33211703728453351</v>
      </c>
      <c r="C133">
        <f ca="1"/>
        <v>-0.44742772413923804</v>
      </c>
      <c r="D133">
        <f ca="1"/>
        <v>0.75693624896241429</v>
      </c>
      <c r="E133">
        <f ca="1"/>
        <v>-0.77004691080738197</v>
      </c>
    </row>
    <row r="134" spans="1:5" x14ac:dyDescent="0.25">
      <c r="A134">
        <f ca="1"/>
        <v>-0.74337574367964565</v>
      </c>
      <c r="B134">
        <f ca="1"/>
        <v>-0.80300134783922872</v>
      </c>
      <c r="C134">
        <f ca="1"/>
        <v>0.19569788946694755</v>
      </c>
      <c r="D134">
        <f ca="1"/>
        <v>-7.0280488211111547E-2</v>
      </c>
      <c r="E134">
        <f ca="1"/>
        <v>1.2136828843210339</v>
      </c>
    </row>
    <row r="135" spans="1:5" x14ac:dyDescent="0.25">
      <c r="A135">
        <f ca="1"/>
        <v>0.71767359962995636</v>
      </c>
      <c r="B135">
        <f ca="1"/>
        <v>0.93197456848562943</v>
      </c>
      <c r="C135">
        <f ca="1"/>
        <v>-0.36475744631481</v>
      </c>
      <c r="D135">
        <f ca="1"/>
        <v>-0.42979047533765746</v>
      </c>
      <c r="E135">
        <f ca="1"/>
        <v>-0.80376274698955608</v>
      </c>
    </row>
    <row r="136" spans="1:5" x14ac:dyDescent="0.25">
      <c r="A136">
        <f ca="1"/>
        <v>-1.5178513805338301E-2</v>
      </c>
      <c r="B136">
        <f ca="1"/>
        <v>-0.77270995627657868</v>
      </c>
      <c r="C136">
        <f ca="1"/>
        <v>0.85242076206187667</v>
      </c>
      <c r="D136">
        <f ca="1"/>
        <v>0.43910237392035489</v>
      </c>
      <c r="E136">
        <f ca="1"/>
        <v>-0.9180489954450135</v>
      </c>
    </row>
    <row r="137" spans="1:5" x14ac:dyDescent="0.25">
      <c r="A137">
        <f ca="1"/>
        <v>-0.36554151386429429</v>
      </c>
      <c r="B137">
        <f ca="1"/>
        <v>-0.31955185039197065</v>
      </c>
      <c r="C137">
        <f ca="1"/>
        <v>1.1749522903008791E-2</v>
      </c>
      <c r="D137">
        <f ca="1"/>
        <v>9.2568511418528482E-2</v>
      </c>
      <c r="E137">
        <f ca="1"/>
        <v>0.94491129730663037</v>
      </c>
    </row>
    <row r="138" spans="1:5" x14ac:dyDescent="0.25">
      <c r="A138">
        <f ca="1"/>
        <v>7.3484994646169755E-2</v>
      </c>
      <c r="B138">
        <f ca="1"/>
        <v>7.8681556444778547E-2</v>
      </c>
      <c r="C138">
        <f ca="1"/>
        <v>-1.8562766746384653E-2</v>
      </c>
      <c r="D138">
        <f ca="1"/>
        <v>-2.837112153857628E-2</v>
      </c>
      <c r="E138">
        <f ca="1"/>
        <v>-0.51296945143609762</v>
      </c>
    </row>
    <row r="139" spans="1:5" x14ac:dyDescent="0.25">
      <c r="A139">
        <f ca="1"/>
        <v>0.39738654999716988</v>
      </c>
      <c r="B139">
        <f ca="1"/>
        <v>0.34921074110325773</v>
      </c>
      <c r="C139">
        <f ca="1"/>
        <v>-1.4815166672405566E-2</v>
      </c>
      <c r="D139">
        <f ca="1"/>
        <v>0.21127007728038519</v>
      </c>
      <c r="E139">
        <f ca="1"/>
        <v>0.82026216611692138</v>
      </c>
    </row>
    <row r="140" spans="1:5" x14ac:dyDescent="0.25">
      <c r="A140">
        <f ca="1"/>
        <v>-0.87709979447345321</v>
      </c>
      <c r="B140">
        <f ca="1"/>
        <v>-0.62474214665932171</v>
      </c>
      <c r="C140">
        <f ca="1"/>
        <v>-0.13111017121620283</v>
      </c>
      <c r="D140">
        <f ca="1"/>
        <v>0.34077622362349258</v>
      </c>
      <c r="E140">
        <f ca="1"/>
        <v>-0.33847703454549516</v>
      </c>
    </row>
    <row r="141" spans="1:5" x14ac:dyDescent="0.25">
      <c r="A141">
        <f ca="1"/>
        <v>0.59219294125954391</v>
      </c>
      <c r="B141">
        <f ca="1"/>
        <v>1.616989528730097</v>
      </c>
      <c r="C141">
        <f ca="1"/>
        <v>-1.2522197400608417</v>
      </c>
      <c r="D141">
        <f ca="1"/>
        <v>0.2636789124742166</v>
      </c>
      <c r="E141">
        <f ca="1"/>
        <v>-0.29971597030381175</v>
      </c>
    </row>
    <row r="142" spans="1:5" x14ac:dyDescent="0.25">
      <c r="A142">
        <f ca="1"/>
        <v>-9.3396034357097882E-2</v>
      </c>
      <c r="B142">
        <f ca="1"/>
        <v>0.34570084791965477</v>
      </c>
      <c r="C142">
        <f ca="1"/>
        <v>-0.47639072092739132</v>
      </c>
      <c r="D142">
        <f ca="1"/>
        <v>-0.69641983700672028</v>
      </c>
      <c r="E142">
        <f ca="1"/>
        <v>-0.39916236209453493</v>
      </c>
    </row>
    <row r="143" spans="1:5" x14ac:dyDescent="0.25">
      <c r="A143">
        <f ca="1"/>
        <v>0.55671705333437582</v>
      </c>
      <c r="B143">
        <f ca="1"/>
        <v>0.54510828053853422</v>
      </c>
      <c r="C143">
        <f ca="1"/>
        <v>-8.3444117875134144E-2</v>
      </c>
      <c r="D143">
        <f ca="1"/>
        <v>4.3795586715481005E-2</v>
      </c>
      <c r="E143">
        <f ca="1"/>
        <v>-0.59289907558702526</v>
      </c>
    </row>
    <row r="144" spans="1:5" x14ac:dyDescent="0.25">
      <c r="A144">
        <f ca="1"/>
        <v>0.29250398491478563</v>
      </c>
      <c r="B144">
        <f ca="1"/>
        <v>0.18452001613786917</v>
      </c>
      <c r="C144">
        <f ca="1"/>
        <v>7.045080857671504E-2</v>
      </c>
      <c r="D144">
        <f ca="1"/>
        <v>-0.81463805106538445</v>
      </c>
      <c r="E144">
        <f ca="1"/>
        <v>-0.15532420681447551</v>
      </c>
    </row>
    <row r="145" spans="1:5" x14ac:dyDescent="0.25">
      <c r="A145">
        <f ca="1"/>
        <v>0.4036722521130402</v>
      </c>
      <c r="B145">
        <f ca="1"/>
        <v>1.192146463464661</v>
      </c>
      <c r="C145">
        <f ca="1"/>
        <v>-0.95444937528640628</v>
      </c>
      <c r="D145">
        <f ca="1"/>
        <v>0.28910298113219507</v>
      </c>
      <c r="E145">
        <f ca="1"/>
        <v>0.77540324236759672</v>
      </c>
    </row>
    <row r="146" spans="1:5" x14ac:dyDescent="0.25">
      <c r="A146">
        <f ca="1"/>
        <v>-0.41330966079792475</v>
      </c>
      <c r="B146">
        <f ca="1"/>
        <v>-0.37039581133608368</v>
      </c>
      <c r="C146">
        <f ca="1"/>
        <v>2.3477098288327614E-2</v>
      </c>
      <c r="D146">
        <f ca="1"/>
        <v>-9.6928424054632867E-2</v>
      </c>
      <c r="E146">
        <f ca="1"/>
        <v>-0.82667657933349603</v>
      </c>
    </row>
    <row r="147" spans="1:5" x14ac:dyDescent="0.25">
      <c r="A147">
        <f ca="1"/>
        <v>-0.8441321804107399</v>
      </c>
      <c r="B147">
        <f ca="1"/>
        <v>-1.4942037664909824</v>
      </c>
      <c r="C147">
        <f ca="1"/>
        <v>0.87551272618079656</v>
      </c>
      <c r="D147">
        <f ca="1"/>
        <v>-0.11909676764550686</v>
      </c>
      <c r="E147">
        <f ca="1"/>
        <v>-7.3380759953868377E-2</v>
      </c>
    </row>
    <row r="148" spans="1:5" x14ac:dyDescent="0.25">
      <c r="A148">
        <f ca="1"/>
        <v>-0.60249525010336924</v>
      </c>
      <c r="B148">
        <f ca="1"/>
        <v>-0.70864091151144404</v>
      </c>
      <c r="C148">
        <f ca="1"/>
        <v>0.22347212747376954</v>
      </c>
      <c r="D148">
        <f ca="1"/>
        <v>-0.68611804137944488</v>
      </c>
      <c r="E148">
        <f ca="1"/>
        <v>0.38078369108458221</v>
      </c>
    </row>
    <row r="149" spans="1:5" x14ac:dyDescent="0.25">
      <c r="A149">
        <f ca="1"/>
        <v>0.23065018258341308</v>
      </c>
      <c r="B149">
        <f ca="1"/>
        <v>-0.262148849930321</v>
      </c>
      <c r="C149">
        <f ca="1"/>
        <v>0.51285011916109435</v>
      </c>
      <c r="D149">
        <f ca="1"/>
        <v>-1.5415504149574699</v>
      </c>
      <c r="E149">
        <f ca="1"/>
        <v>0.99404378873302879</v>
      </c>
    </row>
    <row r="150" spans="1:5" x14ac:dyDescent="0.25">
      <c r="A150">
        <f ca="1"/>
        <v>9.1772088116335693E-2</v>
      </c>
      <c r="B150">
        <f ca="1"/>
        <v>0.56061175944855446</v>
      </c>
      <c r="C150">
        <f ca="1"/>
        <v>-0.54184139105997975</v>
      </c>
      <c r="D150">
        <f ca="1"/>
        <v>0.25489388120815321</v>
      </c>
      <c r="E150">
        <f ca="1"/>
        <v>5.44172140008998E-2</v>
      </c>
    </row>
    <row r="151" spans="1:5" x14ac:dyDescent="0.25">
      <c r="A151">
        <f ca="1"/>
        <v>-0.2326013522237205</v>
      </c>
      <c r="B151">
        <f ca="1"/>
        <v>-0.60114623193379324</v>
      </c>
      <c r="C151">
        <f ca="1"/>
        <v>0.45373435479243257</v>
      </c>
      <c r="D151">
        <f ca="1"/>
        <v>0.35323330200810937</v>
      </c>
      <c r="E151">
        <f ca="1"/>
        <v>-0.94286221352533106</v>
      </c>
    </row>
    <row r="152" spans="1:5" x14ac:dyDescent="0.25">
      <c r="A152">
        <f ca="1"/>
        <v>0.18900235985079392</v>
      </c>
      <c r="B152">
        <f ca="1"/>
        <v>-9.8869381366868375E-2</v>
      </c>
      <c r="C152">
        <f ca="1"/>
        <v>0.29018152140046799</v>
      </c>
      <c r="D152">
        <f ca="1"/>
        <v>-0.17891036491731949</v>
      </c>
      <c r="E152">
        <f ca="1"/>
        <v>-0.39976764818607768</v>
      </c>
    </row>
    <row r="153" spans="1:5" x14ac:dyDescent="0.25">
      <c r="A153">
        <f ca="1"/>
        <v>-0.46407438565593284</v>
      </c>
      <c r="B153">
        <f ca="1"/>
        <v>-0.34036894479323282</v>
      </c>
      <c r="C153">
        <f ca="1"/>
        <v>-5.8357643389915906E-2</v>
      </c>
      <c r="D153">
        <f ca="1"/>
        <v>-0.1418782038902669</v>
      </c>
      <c r="E153">
        <f ca="1"/>
        <v>-0.25520386042436083</v>
      </c>
    </row>
    <row r="154" spans="1:5" x14ac:dyDescent="0.25">
      <c r="A154">
        <f ca="1"/>
        <v>-0.12671285636541016</v>
      </c>
      <c r="B154">
        <f ca="1"/>
        <v>0.35981392125436756</v>
      </c>
      <c r="C154">
        <f ca="1"/>
        <v>-0.52382400361740244</v>
      </c>
      <c r="D154">
        <f ca="1"/>
        <v>0.29424674489397934</v>
      </c>
      <c r="E154">
        <f ca="1"/>
        <v>0.16638295030709083</v>
      </c>
    </row>
    <row r="155" spans="1:5" x14ac:dyDescent="0.25">
      <c r="A155">
        <f ca="1"/>
        <v>0.54740068768818373</v>
      </c>
      <c r="B155">
        <f ca="1"/>
        <v>1.2956843909089168</v>
      </c>
      <c r="C155">
        <f ca="1"/>
        <v>-0.93426904288674173</v>
      </c>
      <c r="D155">
        <f ca="1"/>
        <v>-0.68128326388167959</v>
      </c>
      <c r="E155">
        <f ca="1"/>
        <v>6.5461798921026007E-2</v>
      </c>
    </row>
    <row r="156" spans="1:5" x14ac:dyDescent="0.25">
      <c r="A156">
        <f ca="1"/>
        <v>3.9304990205408508E-2</v>
      </c>
      <c r="B156">
        <f ca="1"/>
        <v>-0.60251832205007549</v>
      </c>
      <c r="C156">
        <f ca="1"/>
        <v>0.71317983774714366</v>
      </c>
      <c r="D156">
        <f ca="1"/>
        <v>9.7096603322346681E-2</v>
      </c>
      <c r="E156">
        <f ca="1"/>
        <v>-0.1552254404630582</v>
      </c>
    </row>
    <row r="157" spans="1:5" x14ac:dyDescent="0.25">
      <c r="A157">
        <f ca="1"/>
        <v>-0.20186894332352689</v>
      </c>
      <c r="B157">
        <f ca="1"/>
        <v>0.4840105689790154</v>
      </c>
      <c r="C157">
        <f ca="1"/>
        <v>-0.73443288461799505</v>
      </c>
      <c r="D157">
        <f ca="1"/>
        <v>1.082522334684962</v>
      </c>
      <c r="E157">
        <f ca="1"/>
        <v>-0.8805599574901084</v>
      </c>
    </row>
    <row r="158" spans="1:5" x14ac:dyDescent="0.25">
      <c r="A158">
        <f ca="1"/>
        <v>0.10730824386291585</v>
      </c>
      <c r="B158">
        <f ca="1"/>
        <v>-0.29836442248447836</v>
      </c>
      <c r="C158">
        <f ca="1"/>
        <v>0.43648511605011242</v>
      </c>
      <c r="D158">
        <f ca="1"/>
        <v>0.16504193739488729</v>
      </c>
      <c r="E158">
        <f ca="1"/>
        <v>-1.2254340652412998</v>
      </c>
    </row>
    <row r="159" spans="1:5" x14ac:dyDescent="0.25">
      <c r="A159">
        <f ca="1"/>
        <v>-1.0197471298898003E-2</v>
      </c>
      <c r="B159">
        <f ca="1"/>
        <v>0.10680293848764134</v>
      </c>
      <c r="C159">
        <f ca="1"/>
        <v>-0.1294828115889623</v>
      </c>
      <c r="D159">
        <f ca="1"/>
        <v>-0.69939271751097898</v>
      </c>
      <c r="E159">
        <f ca="1"/>
        <v>-0.74484181617237744</v>
      </c>
    </row>
    <row r="160" spans="1:5" x14ac:dyDescent="0.25">
      <c r="A160">
        <f ca="1"/>
        <v>-0.29700763227469984</v>
      </c>
      <c r="B160">
        <f ca="1"/>
        <v>-1.1391721172001081</v>
      </c>
      <c r="C160">
        <f ca="1"/>
        <v>0.99619593706632181</v>
      </c>
      <c r="D160">
        <f ca="1"/>
        <v>0.20244689038670477</v>
      </c>
      <c r="E160">
        <f ca="1"/>
        <v>0.19848463141873476</v>
      </c>
    </row>
    <row r="161" spans="1:5" x14ac:dyDescent="0.25">
      <c r="A161">
        <f ca="1"/>
        <v>-0.20536955208899388</v>
      </c>
      <c r="B161">
        <f ca="1"/>
        <v>0.82769839993092675</v>
      </c>
      <c r="C161">
        <f ca="1"/>
        <v>-1.1232985815966425</v>
      </c>
      <c r="D161">
        <f ca="1"/>
        <v>0.1529461720822245</v>
      </c>
      <c r="E161">
        <f ca="1"/>
        <v>-0.51986196686378239</v>
      </c>
    </row>
    <row r="162" spans="1:5" x14ac:dyDescent="0.25">
      <c r="A162">
        <f ca="1"/>
        <v>-0.46796791255846903</v>
      </c>
      <c r="B162">
        <f ca="1"/>
        <v>-0.55677966146382063</v>
      </c>
      <c r="C162">
        <f ca="1"/>
        <v>0.18071652680730965</v>
      </c>
      <c r="D162">
        <f ca="1"/>
        <v>-0.11063085617160398</v>
      </c>
      <c r="E162">
        <f ca="1"/>
        <v>-0.19291924318796458</v>
      </c>
    </row>
    <row r="163" spans="1:5" x14ac:dyDescent="0.25">
      <c r="A163">
        <f ca="1"/>
        <v>0.90213320814677023</v>
      </c>
      <c r="B163">
        <f ca="1"/>
        <v>0.47632580838588812</v>
      </c>
      <c r="C163">
        <f ca="1"/>
        <v>0.32134651082987248</v>
      </c>
      <c r="D163">
        <f ca="1"/>
        <v>-0.4291357610879632</v>
      </c>
      <c r="E163">
        <f ca="1"/>
        <v>-0.54630757619987425</v>
      </c>
    </row>
    <row r="164" spans="1:5" x14ac:dyDescent="0.25">
      <c r="A164">
        <f ca="1"/>
        <v>0.7617235232040428</v>
      </c>
      <c r="B164">
        <f ca="1"/>
        <v>0.44314553024413045</v>
      </c>
      <c r="C164">
        <f ca="1"/>
        <v>0.22538759373271758</v>
      </c>
      <c r="D164">
        <f ca="1"/>
        <v>-0.4463063056350266</v>
      </c>
      <c r="E164">
        <f ca="1"/>
        <v>1.3769778560411152</v>
      </c>
    </row>
    <row r="165" spans="1:5" x14ac:dyDescent="0.25">
      <c r="A165">
        <f ca="1"/>
        <v>-1.0929378638797976E-2</v>
      </c>
      <c r="B165">
        <f ca="1"/>
        <v>0.88306282499948552</v>
      </c>
      <c r="C165">
        <f ca="1"/>
        <v>-1.0009770644733993</v>
      </c>
      <c r="D165">
        <f ca="1"/>
        <v>-1.2563557614520879</v>
      </c>
      <c r="E165">
        <f ca="1"/>
        <v>0.63651035434340875</v>
      </c>
    </row>
    <row r="166" spans="1:5" x14ac:dyDescent="0.25">
      <c r="A166">
        <f ca="1"/>
        <v>-4.756947002669043E-3</v>
      </c>
      <c r="B166">
        <f ca="1"/>
        <v>0.84809259171355766</v>
      </c>
      <c r="C166">
        <f ca="1"/>
        <v>-0.95589320889117713</v>
      </c>
      <c r="D166">
        <f ca="1"/>
        <v>-0.15045179195478015</v>
      </c>
      <c r="E166">
        <f ca="1"/>
        <v>-0.17771006783778712</v>
      </c>
    </row>
    <row r="167" spans="1:5" x14ac:dyDescent="0.25">
      <c r="A167">
        <f ca="1"/>
        <v>-0.10033197744608596</v>
      </c>
      <c r="B167">
        <f ca="1"/>
        <v>0.29780561214642715</v>
      </c>
      <c r="C167">
        <f ca="1"/>
        <v>-0.42924117981978155</v>
      </c>
      <c r="D167">
        <f ca="1"/>
        <v>-0.66941852694999493</v>
      </c>
      <c r="E167">
        <f ca="1"/>
        <v>-0.67996262024983967</v>
      </c>
    </row>
    <row r="168" spans="1:5" x14ac:dyDescent="0.25">
      <c r="A168">
        <f ca="1"/>
        <v>0.33001448866497124</v>
      </c>
      <c r="B168">
        <f ca="1"/>
        <v>0.32858148029181888</v>
      </c>
      <c r="C168">
        <f ca="1"/>
        <v>-5.5576656266179358E-2</v>
      </c>
      <c r="D168">
        <f ca="1"/>
        <v>0.65996963316000112</v>
      </c>
      <c r="E168">
        <f ca="1"/>
        <v>0.67628801509504344</v>
      </c>
    </row>
    <row r="169" spans="1:5" x14ac:dyDescent="0.25">
      <c r="A169">
        <f ca="1"/>
        <v>1.3457491451990322E-2</v>
      </c>
      <c r="B169">
        <f ca="1"/>
        <v>0.66132519298162884</v>
      </c>
      <c r="C169">
        <f ca="1"/>
        <v>-0.72910293649430546</v>
      </c>
      <c r="D169">
        <f ca="1"/>
        <v>-0.26285642909754675</v>
      </c>
      <c r="E169">
        <f ca="1"/>
        <v>-0.58195488790204619</v>
      </c>
    </row>
    <row r="170" spans="1:5" x14ac:dyDescent="0.25">
      <c r="A170">
        <f ca="1"/>
        <v>-0.38745270253454767</v>
      </c>
      <c r="B170">
        <f ca="1"/>
        <v>-0.95432077545557981</v>
      </c>
      <c r="C170">
        <f ca="1"/>
        <v>0.70304349349753692</v>
      </c>
      <c r="D170">
        <f ca="1"/>
        <v>-8.4315450967506075E-2</v>
      </c>
      <c r="E170">
        <f ca="1"/>
        <v>-0.62155517149789818</v>
      </c>
    </row>
    <row r="171" spans="1:5" x14ac:dyDescent="0.25">
      <c r="A171">
        <f ca="1"/>
        <v>-9.7075202942080399E-2</v>
      </c>
      <c r="B171">
        <f ca="1"/>
        <v>-0.55842279626913294</v>
      </c>
      <c r="C171">
        <f ca="1"/>
        <v>0.53435577031385195</v>
      </c>
      <c r="D171">
        <f ca="1"/>
        <v>-0.30293017195090222</v>
      </c>
      <c r="E171">
        <f ca="1"/>
        <v>-0.36216095608413601</v>
      </c>
    </row>
    <row r="172" spans="1:5" x14ac:dyDescent="0.25">
      <c r="A172">
        <f ca="1"/>
        <v>0.45006551194252375</v>
      </c>
      <c r="B172">
        <f ca="1"/>
        <v>0.70538703736942554</v>
      </c>
      <c r="C172">
        <f ca="1"/>
        <v>-0.36440332265122205</v>
      </c>
      <c r="D172">
        <f ca="1"/>
        <v>-0.52484036537709133</v>
      </c>
      <c r="E172">
        <f ca="1"/>
        <v>0.14400985760904075</v>
      </c>
    </row>
    <row r="173" spans="1:5" x14ac:dyDescent="0.25">
      <c r="A173">
        <f ca="1"/>
        <v>-0.19615558221344812</v>
      </c>
      <c r="B173">
        <f ca="1"/>
        <v>0.41249799744545812</v>
      </c>
      <c r="C173">
        <f ca="1"/>
        <v>-0.64879165886030377</v>
      </c>
      <c r="D173">
        <f ca="1"/>
        <v>0.54006345651109644</v>
      </c>
      <c r="E173">
        <f ca="1"/>
        <v>-0.30036635541276913</v>
      </c>
    </row>
    <row r="174" spans="1:5" x14ac:dyDescent="0.25">
      <c r="A174">
        <f ca="1"/>
        <v>1.7923961542977651E-2</v>
      </c>
      <c r="B174">
        <f ca="1"/>
        <v>0.13185956835935875</v>
      </c>
      <c r="C174">
        <f ca="1"/>
        <v>-0.13091756888242784</v>
      </c>
      <c r="D174">
        <f ca="1"/>
        <v>-1.4599752772962131</v>
      </c>
      <c r="E174">
        <f ca="1"/>
        <v>-0.19174905670912148</v>
      </c>
    </row>
    <row r="175" spans="1:5" x14ac:dyDescent="0.25">
      <c r="A175">
        <f ca="1"/>
        <v>-1.0029991533060334E-2</v>
      </c>
      <c r="B175">
        <f ca="1"/>
        <v>-0.13128329719948437</v>
      </c>
      <c r="C175">
        <f ca="1"/>
        <v>0.13775863523227502</v>
      </c>
      <c r="D175">
        <f ca="1"/>
        <v>-1.0310835754955285</v>
      </c>
      <c r="E175">
        <f ca="1"/>
        <v>0.27494637448179954</v>
      </c>
    </row>
    <row r="176" spans="1:5" x14ac:dyDescent="0.25">
      <c r="A176">
        <f ca="1"/>
        <v>0.70738578704683674</v>
      </c>
      <c r="B176">
        <f ca="1"/>
        <v>1.5742402412622216</v>
      </c>
      <c r="C176">
        <f ca="1"/>
        <v>-1.0950023105312479</v>
      </c>
      <c r="D176">
        <f ca="1"/>
        <v>0.13861862905128691</v>
      </c>
      <c r="E176">
        <f ca="1"/>
        <v>0.54365164230885332</v>
      </c>
    </row>
    <row r="177" spans="1:5" x14ac:dyDescent="0.25">
      <c r="A177">
        <f ca="1"/>
        <v>0.14117827652167653</v>
      </c>
      <c r="B177">
        <f ca="1"/>
        <v>0.6346337205144289</v>
      </c>
      <c r="C177">
        <f ca="1"/>
        <v>-0.57801609770912998</v>
      </c>
      <c r="D177">
        <f ca="1"/>
        <v>-1.0749359524075293</v>
      </c>
      <c r="E177">
        <f ca="1"/>
        <v>1.0365390888700041</v>
      </c>
    </row>
    <row r="178" spans="1:5" x14ac:dyDescent="0.25">
      <c r="A178">
        <f ca="1"/>
        <v>5.2709866369951022E-2</v>
      </c>
      <c r="B178">
        <f ca="1"/>
        <v>-7.3602025816445343E-2</v>
      </c>
      <c r="C178">
        <f ca="1"/>
        <v>0.13256187790565627</v>
      </c>
      <c r="D178">
        <f ca="1"/>
        <v>0.34032312717479807</v>
      </c>
      <c r="E178">
        <f ca="1"/>
        <v>-0.39188145618358322</v>
      </c>
    </row>
    <row r="179" spans="1:5" x14ac:dyDescent="0.25">
      <c r="A179">
        <f ca="1"/>
        <v>-4.8511581812840515E-2</v>
      </c>
      <c r="B179">
        <f ca="1"/>
        <v>0.26734842696869687</v>
      </c>
      <c r="C179">
        <f ca="1"/>
        <v>-0.34592239545560244</v>
      </c>
      <c r="D179">
        <f ca="1"/>
        <v>-1.0175391449476696</v>
      </c>
      <c r="E179">
        <f ca="1"/>
        <v>7.2443075145135358E-2</v>
      </c>
    </row>
    <row r="180" spans="1:5" x14ac:dyDescent="0.25">
      <c r="A180">
        <f ca="1"/>
        <v>-3.8244498572037267E-2</v>
      </c>
      <c r="B180">
        <f ca="1"/>
        <v>-0.65912433544962901</v>
      </c>
      <c r="C180">
        <f ca="1"/>
        <v>0.70312327729803281</v>
      </c>
      <c r="D180">
        <f ca="1"/>
        <v>-0.65188399367757788</v>
      </c>
      <c r="E180">
        <f ca="1"/>
        <v>-0.80144167462460425</v>
      </c>
    </row>
    <row r="181" spans="1:5" x14ac:dyDescent="0.25">
      <c r="A181">
        <f ca="1"/>
        <v>0.26328056459880594</v>
      </c>
      <c r="B181">
        <f ca="1"/>
        <v>-0.25831920782561701</v>
      </c>
      <c r="C181">
        <f ca="1"/>
        <v>0.53950435954568321</v>
      </c>
      <c r="D181">
        <f ca="1"/>
        <v>0.52255005310859914</v>
      </c>
      <c r="E181">
        <f ca="1"/>
        <v>-0.32818224563650594</v>
      </c>
    </row>
    <row r="182" spans="1:5" x14ac:dyDescent="0.25">
      <c r="A182">
        <f ca="1"/>
        <v>-0.2677866591035013</v>
      </c>
      <c r="B182">
        <f ca="1"/>
        <v>-0.2049455876956866</v>
      </c>
      <c r="C182">
        <f ca="1"/>
        <v>-2.409295381376314E-2</v>
      </c>
      <c r="D182">
        <f ca="1"/>
        <v>0.949573044818248</v>
      </c>
      <c r="E182">
        <f ca="1"/>
        <v>0.64243201282909235</v>
      </c>
    </row>
    <row r="183" spans="1:5" x14ac:dyDescent="0.25">
      <c r="A183">
        <f ca="1"/>
        <v>3.9031352287272988E-2</v>
      </c>
      <c r="B183">
        <f ca="1"/>
        <v>0.63106599316210676</v>
      </c>
      <c r="C183">
        <f ca="1"/>
        <v>-0.67090138951988487</v>
      </c>
      <c r="D183">
        <f ca="1"/>
        <v>-0.28668948568384367</v>
      </c>
      <c r="E183">
        <f ca="1"/>
        <v>1.6641934675064859E-2</v>
      </c>
    </row>
    <row r="184" spans="1:5" x14ac:dyDescent="0.25">
      <c r="A184">
        <f ca="1"/>
        <v>-0.66987264855876638</v>
      </c>
      <c r="B184">
        <f ca="1"/>
        <v>-0.32100651040377509</v>
      </c>
      <c r="C184">
        <f ca="1"/>
        <v>-0.27528022968126775</v>
      </c>
      <c r="D184">
        <f ca="1"/>
        <v>-4.4418079784932507E-2</v>
      </c>
      <c r="E184">
        <f ca="1"/>
        <v>-0.33670196521114198</v>
      </c>
    </row>
    <row r="185" spans="1:5" x14ac:dyDescent="0.25">
      <c r="A185">
        <f ca="1"/>
        <v>-0.30114395920006376</v>
      </c>
      <c r="B185">
        <f ca="1"/>
        <v>0.22701441749634108</v>
      </c>
      <c r="C185">
        <f ca="1"/>
        <v>-0.54030084529591438</v>
      </c>
      <c r="D185">
        <f ca="1"/>
        <v>-0.35795203567281736</v>
      </c>
      <c r="E185">
        <f ca="1"/>
        <v>-0.34133692898882578</v>
      </c>
    </row>
    <row r="186" spans="1:5" x14ac:dyDescent="0.25">
      <c r="A186">
        <f ca="1"/>
        <v>4.9916526846554787E-2</v>
      </c>
      <c r="B186">
        <f ca="1"/>
        <v>0.20392489500569788</v>
      </c>
      <c r="C186">
        <f ca="1"/>
        <v>-0.1814143653861032</v>
      </c>
      <c r="D186">
        <f ca="1"/>
        <v>0.64935914521233762</v>
      </c>
      <c r="E186">
        <f ca="1"/>
        <v>-0.39808598841545922</v>
      </c>
    </row>
    <row r="187" spans="1:5" x14ac:dyDescent="0.25">
      <c r="A187">
        <f ca="1"/>
        <v>0.25931900785143913</v>
      </c>
      <c r="B187">
        <f ca="1"/>
        <v>1.1102997886581314</v>
      </c>
      <c r="C187">
        <f ca="1"/>
        <v>-0.99955536088863228</v>
      </c>
      <c r="D187">
        <f ca="1"/>
        <v>-0.42961448947533298</v>
      </c>
      <c r="E187">
        <f ca="1"/>
        <v>0.15192923494486485</v>
      </c>
    </row>
    <row r="188" spans="1:5" x14ac:dyDescent="0.25">
      <c r="A188">
        <f ca="1"/>
        <v>0.55950055845835223</v>
      </c>
      <c r="B188">
        <f ca="1"/>
        <v>0.55220389366159461</v>
      </c>
      <c r="C188">
        <f ca="1"/>
        <v>-8.8763714152501436E-2</v>
      </c>
      <c r="D188">
        <f ca="1"/>
        <v>0.61556927030649167</v>
      </c>
      <c r="E188">
        <f ca="1"/>
        <v>-1.6012909365328521E-3</v>
      </c>
    </row>
    <row r="189" spans="1:5" x14ac:dyDescent="0.25">
      <c r="A189">
        <f ca="1"/>
        <v>0.6622845074005127</v>
      </c>
      <c r="B189">
        <f ca="1"/>
        <v>0.76785402004576653</v>
      </c>
      <c r="C189">
        <f ca="1"/>
        <v>-0.2331859618614881</v>
      </c>
      <c r="D189">
        <f ca="1"/>
        <v>-0.98006681143752872</v>
      </c>
      <c r="E189">
        <f ca="1"/>
        <v>-0.46890501706755167</v>
      </c>
    </row>
    <row r="190" spans="1:5" x14ac:dyDescent="0.25">
      <c r="A190">
        <f ca="1"/>
        <v>1.5480217494566543E-2</v>
      </c>
      <c r="B190">
        <f ca="1"/>
        <v>0.48445113337840912</v>
      </c>
      <c r="C190">
        <f ca="1"/>
        <v>-0.52876893110222978</v>
      </c>
      <c r="D190">
        <f ca="1"/>
        <v>-0.47496240385449073</v>
      </c>
      <c r="E190">
        <f ca="1"/>
        <v>-0.39001395002024886</v>
      </c>
    </row>
    <row r="191" spans="1:5" x14ac:dyDescent="0.25">
      <c r="A191">
        <f ca="1"/>
        <v>-0.40435089278977521</v>
      </c>
      <c r="B191">
        <f ca="1"/>
        <v>4.5383499989363404E-2</v>
      </c>
      <c r="C191">
        <f ca="1"/>
        <v>-0.43444218770331533</v>
      </c>
      <c r="D191">
        <f ca="1"/>
        <v>0.83408185749577235</v>
      </c>
      <c r="E191">
        <f ca="1"/>
        <v>0.58046649723094446</v>
      </c>
    </row>
    <row r="192" spans="1:5" x14ac:dyDescent="0.25">
      <c r="A192">
        <f ca="1"/>
        <v>2.9809286824548309E-2</v>
      </c>
      <c r="B192">
        <f ca="1"/>
        <v>-0.38474607510851705</v>
      </c>
      <c r="C192">
        <f ca="1"/>
        <v>0.45987847885188793</v>
      </c>
      <c r="D192">
        <f ca="1"/>
        <v>-0.30590319273698274</v>
      </c>
      <c r="E192">
        <f ca="1"/>
        <v>-0.20439524539522275</v>
      </c>
    </row>
    <row r="193" spans="1:5" x14ac:dyDescent="0.25">
      <c r="A193">
        <f ca="1"/>
        <v>0.20259729076739086</v>
      </c>
      <c r="B193">
        <f ca="1"/>
        <v>1.5329122740773702</v>
      </c>
      <c r="C193">
        <f ca="1"/>
        <v>-1.5274387224683486</v>
      </c>
      <c r="D193">
        <f ca="1"/>
        <v>-0.87438066063389464</v>
      </c>
      <c r="E193">
        <f ca="1"/>
        <v>1.1209755466433211</v>
      </c>
    </row>
    <row r="194" spans="1:5" x14ac:dyDescent="0.25">
      <c r="A194">
        <f ca="1"/>
        <v>-0.15493810984315715</v>
      </c>
      <c r="B194">
        <f ca="1"/>
        <v>0.31334623780507054</v>
      </c>
      <c r="C194">
        <f ca="1"/>
        <v>-0.49846903070336768</v>
      </c>
      <c r="D194">
        <f ca="1"/>
        <v>-0.6860443037976709</v>
      </c>
      <c r="E194">
        <f ca="1"/>
        <v>-0.76308152396247986</v>
      </c>
    </row>
    <row r="195" spans="1:5" x14ac:dyDescent="0.25">
      <c r="A195">
        <f ca="1"/>
        <v>0.59958019731924039</v>
      </c>
      <c r="B195">
        <f ca="1"/>
        <v>0.24765867577227363</v>
      </c>
      <c r="C195">
        <f ca="1"/>
        <v>0.29088784846589605</v>
      </c>
      <c r="D195">
        <f ca="1"/>
        <v>-0.36480526086286824</v>
      </c>
      <c r="E195">
        <f ca="1"/>
        <v>-0.22531503387756205</v>
      </c>
    </row>
    <row r="196" spans="1:5" x14ac:dyDescent="0.25">
      <c r="A196">
        <f ca="1"/>
        <v>-0.49284724959852333</v>
      </c>
      <c r="B196">
        <f ca="1"/>
        <v>-0.85255455834210048</v>
      </c>
      <c r="C196">
        <f ca="1"/>
        <v>0.48891530291412055</v>
      </c>
      <c r="D196">
        <f ca="1"/>
        <v>-0.27224206319681105</v>
      </c>
      <c r="E196">
        <f ca="1"/>
        <v>-0.63215249641361759</v>
      </c>
    </row>
    <row r="197" spans="1:5" x14ac:dyDescent="0.25">
      <c r="A197">
        <f ca="1"/>
        <v>-0.69952531001016827</v>
      </c>
      <c r="B197">
        <f ca="1"/>
        <v>-0.61816686630474049</v>
      </c>
      <c r="C197">
        <f ca="1"/>
        <v>2.9945186528862189E-2</v>
      </c>
      <c r="D197">
        <f ca="1"/>
        <v>-3.4615039557457039E-2</v>
      </c>
      <c r="E197">
        <f ca="1"/>
        <v>-1.2340643756322212</v>
      </c>
    </row>
    <row r="198" spans="1:5" x14ac:dyDescent="0.25">
      <c r="A198">
        <f ca="1"/>
        <v>0.45088258646924384</v>
      </c>
      <c r="B198">
        <f ca="1"/>
        <v>0.61625001207620034</v>
      </c>
      <c r="C198">
        <f ca="1"/>
        <v>-0.26363535737384847</v>
      </c>
      <c r="D198">
        <f ca="1"/>
        <v>0.38626458947224046</v>
      </c>
      <c r="E198">
        <f ca="1"/>
        <v>0.19752514312475158</v>
      </c>
    </row>
    <row r="199" spans="1:5" x14ac:dyDescent="0.25">
      <c r="A199">
        <f ca="1"/>
        <v>0.75822373088670758</v>
      </c>
      <c r="B199">
        <f ca="1"/>
        <v>0.32049901166722466</v>
      </c>
      <c r="C199">
        <f ca="1"/>
        <v>0.35965155208290595</v>
      </c>
      <c r="D199">
        <f ca="1"/>
        <v>0.19404616764867</v>
      </c>
      <c r="E199">
        <f ca="1"/>
        <v>-8.4261989452286579E-2</v>
      </c>
    </row>
    <row r="200" spans="1:5" x14ac:dyDescent="0.25">
      <c r="A200">
        <f ca="1"/>
        <v>-0.34728968573718094</v>
      </c>
      <c r="B200">
        <f ca="1"/>
        <v>-1.2029497712309452</v>
      </c>
      <c r="C200">
        <f ca="1"/>
        <v>1.0200479216943159</v>
      </c>
      <c r="D200">
        <f ca="1"/>
        <v>0.53219051734151679</v>
      </c>
      <c r="E200">
        <f ca="1"/>
        <v>1.4545861500509157E-2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Spectral</vt:lpstr>
      <vt:lpstr>Uncorrelated Normal Rand</vt:lpstr>
      <vt:lpstr>Correlated Normal Rand </vt:lpstr>
      <vt:lpstr>scaling</vt:lpstr>
      <vt:lpstr>trace</vt:lpstr>
    </vt:vector>
  </TitlesOfParts>
  <Company>Virtufin Ltd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Haener</dc:creator>
  <cp:lastModifiedBy>haener</cp:lastModifiedBy>
  <dcterms:created xsi:type="dcterms:W3CDTF">2012-08-13T07:38:39Z</dcterms:created>
  <dcterms:modified xsi:type="dcterms:W3CDTF">2012-09-27T04:05:16Z</dcterms:modified>
</cp:coreProperties>
</file>